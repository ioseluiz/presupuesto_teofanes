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ancanal-my.sharepoint.com/personal/jlmunoz_pancanal_com/Documents/Documents/INIO-CE/VBA_programming/presupuesto_teofanes/"/>
    </mc:Choice>
  </mc:AlternateContent>
  <xr:revisionPtr revIDLastSave="5494" documentId="13_ncr:1_{A211FAD0-A1CC-4ACB-87CE-AD1301A326EE}" xr6:coauthVersionLast="47" xr6:coauthVersionMax="47" xr10:uidLastSave="{996FA22D-B264-456D-AAE9-54657D588C44}"/>
  <bookViews>
    <workbookView xWindow="-120" yWindow="-120" windowWidth="29040" windowHeight="15720" xr2:uid="{611A2D9C-62A9-4D7F-AE5F-87D874EE6586}"/>
  </bookViews>
  <sheets>
    <sheet name="Sheet1" sheetId="1" r:id="rId1"/>
    <sheet name="RESUMEN" sheetId="2" r:id="rId2"/>
    <sheet name="ZAPATAS" sheetId="3" r:id="rId3"/>
    <sheet name="MUROS Y FOSOS" sheetId="4" r:id="rId4"/>
    <sheet name="TANQUE DE AGUA" sheetId="5" r:id="rId5"/>
    <sheet name="ALBAÑILERRIA" sheetId="6" r:id="rId6"/>
    <sheet name="ESTRUC ELEVA" sheetId="7" r:id="rId7"/>
    <sheet name="ESCALERA" sheetId="8" r:id="rId8"/>
  </sheets>
  <definedNames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CorrelationEnabledState" hidden="1">1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1</definedName>
    <definedName name="_AtRisk_SimSetting_StdRecalcWithoutRiskStaticPercentile" hidden="1">0.5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0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3" i="2" l="1"/>
  <c r="I7" i="8"/>
  <c r="K7" i="8"/>
  <c r="L7" i="8"/>
  <c r="P7" i="8" s="1"/>
  <c r="P29" i="8" s="1"/>
  <c r="O7" i="8"/>
  <c r="Q7" i="8"/>
  <c r="R7" i="8"/>
  <c r="S7" i="8"/>
  <c r="L8" i="8"/>
  <c r="Q8" i="8" s="1"/>
  <c r="M8" i="8"/>
  <c r="O8" i="8"/>
  <c r="P8" i="8"/>
  <c r="R8" i="8"/>
  <c r="S8" i="8"/>
  <c r="I9" i="8"/>
  <c r="I29" i="8" s="1"/>
  <c r="J9" i="8"/>
  <c r="K9" i="8"/>
  <c r="L9" i="8"/>
  <c r="M9" i="8"/>
  <c r="O9" i="8"/>
  <c r="P9" i="8"/>
  <c r="Q9" i="8"/>
  <c r="R9" i="8"/>
  <c r="R29" i="8" s="1"/>
  <c r="S9" i="8"/>
  <c r="L10" i="8"/>
  <c r="Q10" i="8" s="1"/>
  <c r="M10" i="8"/>
  <c r="O10" i="8"/>
  <c r="P10" i="8"/>
  <c r="R10" i="8"/>
  <c r="S10" i="8"/>
  <c r="L11" i="8"/>
  <c r="M11" i="8"/>
  <c r="O11" i="8"/>
  <c r="P11" i="8"/>
  <c r="Q11" i="8"/>
  <c r="R11" i="8"/>
  <c r="S11" i="8"/>
  <c r="L12" i="8"/>
  <c r="O12" i="8" s="1"/>
  <c r="M12" i="8"/>
  <c r="P12" i="8"/>
  <c r="Q12" i="8"/>
  <c r="R12" i="8"/>
  <c r="S12" i="8"/>
  <c r="S29" i="8" s="1"/>
  <c r="I13" i="8"/>
  <c r="J13" i="8"/>
  <c r="J29" i="8" s="1"/>
  <c r="K13" i="8"/>
  <c r="L13" i="8"/>
  <c r="Q13" i="8" s="1"/>
  <c r="M13" i="8"/>
  <c r="O13" i="8"/>
  <c r="P13" i="8"/>
  <c r="R13" i="8"/>
  <c r="S13" i="8"/>
  <c r="L14" i="8"/>
  <c r="M14" i="8"/>
  <c r="O14" i="8"/>
  <c r="P14" i="8"/>
  <c r="Q14" i="8"/>
  <c r="R14" i="8"/>
  <c r="S14" i="8"/>
  <c r="I15" i="8"/>
  <c r="J15" i="8"/>
  <c r="K15" i="8"/>
  <c r="L15" i="8"/>
  <c r="M15" i="8"/>
  <c r="O15" i="8"/>
  <c r="P15" i="8"/>
  <c r="Q15" i="8"/>
  <c r="R15" i="8"/>
  <c r="S15" i="8"/>
  <c r="L16" i="8"/>
  <c r="Q16" i="8" s="1"/>
  <c r="M16" i="8"/>
  <c r="O16" i="8"/>
  <c r="P16" i="8"/>
  <c r="R16" i="8"/>
  <c r="S16" i="8"/>
  <c r="L17" i="8"/>
  <c r="M17" i="8"/>
  <c r="O17" i="8"/>
  <c r="P17" i="8"/>
  <c r="Q17" i="8"/>
  <c r="R17" i="8"/>
  <c r="S17" i="8"/>
  <c r="L18" i="8"/>
  <c r="O18" i="8" s="1"/>
  <c r="M18" i="8"/>
  <c r="P18" i="8"/>
  <c r="Q18" i="8"/>
  <c r="R18" i="8"/>
  <c r="S18" i="8"/>
  <c r="I19" i="8"/>
  <c r="J19" i="8"/>
  <c r="K19" i="8"/>
  <c r="L19" i="8"/>
  <c r="Q19" i="8" s="1"/>
  <c r="M19" i="8"/>
  <c r="O19" i="8"/>
  <c r="P19" i="8"/>
  <c r="R19" i="8"/>
  <c r="S19" i="8"/>
  <c r="L20" i="8"/>
  <c r="M20" i="8"/>
  <c r="O20" i="8"/>
  <c r="P20" i="8"/>
  <c r="Q20" i="8"/>
  <c r="R20" i="8"/>
  <c r="S20" i="8"/>
  <c r="I21" i="8"/>
  <c r="J21" i="8"/>
  <c r="K21" i="8"/>
  <c r="L21" i="8"/>
  <c r="M21" i="8"/>
  <c r="O21" i="8"/>
  <c r="P21" i="8"/>
  <c r="Q21" i="8"/>
  <c r="R21" i="8"/>
  <c r="S21" i="8"/>
  <c r="L22" i="8"/>
  <c r="Q22" i="8" s="1"/>
  <c r="M22" i="8"/>
  <c r="O22" i="8"/>
  <c r="P22" i="8"/>
  <c r="R22" i="8"/>
  <c r="S22" i="8"/>
  <c r="L23" i="8"/>
  <c r="M23" i="8"/>
  <c r="O23" i="8"/>
  <c r="P23" i="8"/>
  <c r="Q23" i="8"/>
  <c r="R23" i="8"/>
  <c r="S23" i="8"/>
  <c r="L24" i="8"/>
  <c r="O24" i="8" s="1"/>
  <c r="M24" i="8"/>
  <c r="P24" i="8"/>
  <c r="Q24" i="8"/>
  <c r="R24" i="8"/>
  <c r="S24" i="8"/>
  <c r="I25" i="8"/>
  <c r="J25" i="8"/>
  <c r="K25" i="8"/>
  <c r="L25" i="8"/>
  <c r="Q25" i="8" s="1"/>
  <c r="M25" i="8"/>
  <c r="O25" i="8"/>
  <c r="P25" i="8"/>
  <c r="R25" i="8"/>
  <c r="S25" i="8"/>
  <c r="L26" i="8"/>
  <c r="M26" i="8"/>
  <c r="O26" i="8"/>
  <c r="P26" i="8"/>
  <c r="Q26" i="8"/>
  <c r="R26" i="8"/>
  <c r="S26" i="8"/>
  <c r="I27" i="8"/>
  <c r="K27" i="8"/>
  <c r="L27" i="8"/>
  <c r="M27" i="8"/>
  <c r="O27" i="8"/>
  <c r="P27" i="8"/>
  <c r="Q27" i="8"/>
  <c r="R27" i="8"/>
  <c r="S27" i="8"/>
  <c r="L28" i="8"/>
  <c r="M28" i="8"/>
  <c r="O28" i="8"/>
  <c r="P28" i="8"/>
  <c r="R28" i="8" s="1"/>
  <c r="Q28" i="8"/>
  <c r="S28" i="8"/>
  <c r="K29" i="8"/>
  <c r="H33" i="8"/>
  <c r="H44" i="8" s="1"/>
  <c r="H34" i="8"/>
  <c r="H35" i="8"/>
  <c r="H36" i="8"/>
  <c r="H37" i="8"/>
  <c r="H38" i="8"/>
  <c r="H39" i="8"/>
  <c r="H40" i="8"/>
  <c r="H41" i="8"/>
  <c r="H42" i="8"/>
  <c r="H43" i="8"/>
  <c r="H31" i="7"/>
  <c r="H30" i="7"/>
  <c r="H29" i="7"/>
  <c r="H28" i="7"/>
  <c r="H27" i="7"/>
  <c r="H26" i="7"/>
  <c r="H25" i="7"/>
  <c r="H24" i="7"/>
  <c r="H23" i="7"/>
  <c r="H22" i="7"/>
  <c r="H21" i="7"/>
  <c r="H32" i="7" s="1"/>
  <c r="H16" i="7"/>
  <c r="H15" i="7"/>
  <c r="H14" i="7"/>
  <c r="H13" i="7"/>
  <c r="H12" i="7"/>
  <c r="H11" i="7"/>
  <c r="H10" i="7"/>
  <c r="H9" i="7"/>
  <c r="H8" i="7"/>
  <c r="H7" i="7"/>
  <c r="H6" i="7"/>
  <c r="H17" i="7" s="1"/>
  <c r="H63" i="6"/>
  <c r="G63" i="6"/>
  <c r="F63" i="6"/>
  <c r="F64" i="6" s="1"/>
  <c r="E63" i="6"/>
  <c r="H62" i="6"/>
  <c r="H64" i="6" s="1"/>
  <c r="G9" i="6" s="1"/>
  <c r="G62" i="6"/>
  <c r="G64" i="6" s="1"/>
  <c r="F62" i="6"/>
  <c r="E62" i="6"/>
  <c r="E64" i="6" s="1"/>
  <c r="G57" i="6"/>
  <c r="H56" i="6"/>
  <c r="H57" i="6" s="1"/>
  <c r="G8" i="6" s="1"/>
  <c r="G56" i="6"/>
  <c r="F56" i="6"/>
  <c r="F57" i="6" s="1"/>
  <c r="E56" i="6"/>
  <c r="E57" i="6" s="1"/>
  <c r="H50" i="6"/>
  <c r="G50" i="6"/>
  <c r="F50" i="6"/>
  <c r="E50" i="6"/>
  <c r="H49" i="6"/>
  <c r="G49" i="6"/>
  <c r="F49" i="6"/>
  <c r="E49" i="6"/>
  <c r="H48" i="6"/>
  <c r="H51" i="6" s="1"/>
  <c r="G7" i="6" s="1"/>
  <c r="G48" i="6"/>
  <c r="G51" i="6" s="1"/>
  <c r="F48" i="6"/>
  <c r="E48" i="6"/>
  <c r="H47" i="6"/>
  <c r="G47" i="6"/>
  <c r="F47" i="6"/>
  <c r="E47" i="6"/>
  <c r="H46" i="6"/>
  <c r="G46" i="6"/>
  <c r="F46" i="6"/>
  <c r="F51" i="6" s="1"/>
  <c r="E46" i="6"/>
  <c r="E51" i="6" s="1"/>
  <c r="H41" i="6"/>
  <c r="G6" i="6" s="1"/>
  <c r="H40" i="6"/>
  <c r="G40" i="6"/>
  <c r="F40" i="6"/>
  <c r="E40" i="6"/>
  <c r="H39" i="6"/>
  <c r="G39" i="6"/>
  <c r="F39" i="6"/>
  <c r="E39" i="6"/>
  <c r="H38" i="6"/>
  <c r="G38" i="6"/>
  <c r="G41" i="6" s="1"/>
  <c r="F38" i="6"/>
  <c r="E38" i="6"/>
  <c r="H37" i="6"/>
  <c r="G37" i="6"/>
  <c r="F37" i="6"/>
  <c r="E37" i="6"/>
  <c r="H36" i="6"/>
  <c r="G36" i="6"/>
  <c r="F36" i="6"/>
  <c r="F41" i="6" s="1"/>
  <c r="E36" i="6"/>
  <c r="E41" i="6" s="1"/>
  <c r="H30" i="6"/>
  <c r="G30" i="6"/>
  <c r="F30" i="6"/>
  <c r="E30" i="6"/>
  <c r="H29" i="6"/>
  <c r="G29" i="6"/>
  <c r="F29" i="6"/>
  <c r="E29" i="6"/>
  <c r="H28" i="6"/>
  <c r="G28" i="6"/>
  <c r="F28" i="6"/>
  <c r="E28" i="6"/>
  <c r="H27" i="6"/>
  <c r="G27" i="6"/>
  <c r="F27" i="6"/>
  <c r="E27" i="6"/>
  <c r="H26" i="6"/>
  <c r="G26" i="6"/>
  <c r="F26" i="6"/>
  <c r="E26" i="6"/>
  <c r="H25" i="6"/>
  <c r="G25" i="6"/>
  <c r="F25" i="6"/>
  <c r="E25" i="6"/>
  <c r="H24" i="6"/>
  <c r="G24" i="6"/>
  <c r="F24" i="6"/>
  <c r="E24" i="6"/>
  <c r="H23" i="6"/>
  <c r="G23" i="6"/>
  <c r="F23" i="6"/>
  <c r="E23" i="6"/>
  <c r="H22" i="6"/>
  <c r="G22" i="6"/>
  <c r="F22" i="6"/>
  <c r="E22" i="6"/>
  <c r="H21" i="6"/>
  <c r="G21" i="6"/>
  <c r="F21" i="6"/>
  <c r="E21" i="6"/>
  <c r="H20" i="6"/>
  <c r="G20" i="6"/>
  <c r="F20" i="6"/>
  <c r="E20" i="6"/>
  <c r="H19" i="6"/>
  <c r="H31" i="6" s="1"/>
  <c r="G5" i="6" s="1"/>
  <c r="G19" i="6"/>
  <c r="G31" i="6" s="1"/>
  <c r="F19" i="6"/>
  <c r="E19" i="6"/>
  <c r="E31" i="6" s="1"/>
  <c r="H18" i="6"/>
  <c r="G18" i="6"/>
  <c r="F18" i="6"/>
  <c r="F31" i="6" s="1"/>
  <c r="E18" i="6"/>
  <c r="M9" i="6"/>
  <c r="L9" i="6"/>
  <c r="K9" i="6"/>
  <c r="J9" i="6"/>
  <c r="F9" i="6"/>
  <c r="M8" i="6"/>
  <c r="L8" i="6"/>
  <c r="K8" i="6"/>
  <c r="J8" i="6"/>
  <c r="F8" i="6"/>
  <c r="M7" i="6"/>
  <c r="L7" i="6"/>
  <c r="K7" i="6"/>
  <c r="K10" i="6" s="1"/>
  <c r="J7" i="6"/>
  <c r="J10" i="6" s="1"/>
  <c r="F7" i="6"/>
  <c r="M6" i="6"/>
  <c r="L6" i="6"/>
  <c r="K6" i="6"/>
  <c r="J6" i="6"/>
  <c r="F6" i="6"/>
  <c r="M5" i="6"/>
  <c r="M10" i="6" s="1"/>
  <c r="L5" i="6"/>
  <c r="L10" i="6" s="1"/>
  <c r="K5" i="6"/>
  <c r="J5" i="6"/>
  <c r="F5" i="6"/>
  <c r="I5" i="6" s="1"/>
  <c r="O457" i="5"/>
  <c r="N457" i="5"/>
  <c r="K457" i="5"/>
  <c r="K458" i="5" s="1"/>
  <c r="J457" i="5"/>
  <c r="I457" i="5"/>
  <c r="H457" i="5"/>
  <c r="G457" i="5"/>
  <c r="O453" i="5"/>
  <c r="M453" i="5"/>
  <c r="L453" i="5"/>
  <c r="N453" i="5" s="1"/>
  <c r="N458" i="5" s="1"/>
  <c r="K453" i="5"/>
  <c r="J453" i="5"/>
  <c r="G453" i="5"/>
  <c r="G458" i="5" s="1"/>
  <c r="J448" i="5"/>
  <c r="G448" i="5"/>
  <c r="G449" i="5" s="1"/>
  <c r="N447" i="5"/>
  <c r="M447" i="5"/>
  <c r="L447" i="5"/>
  <c r="K447" i="5"/>
  <c r="K449" i="5" s="1"/>
  <c r="J447" i="5"/>
  <c r="G447" i="5"/>
  <c r="G438" i="5"/>
  <c r="O437" i="5"/>
  <c r="N437" i="5"/>
  <c r="K437" i="5"/>
  <c r="J437" i="5"/>
  <c r="I437" i="5"/>
  <c r="H437" i="5"/>
  <c r="G437" i="5"/>
  <c r="O433" i="5"/>
  <c r="L433" i="5"/>
  <c r="N433" i="5" s="1"/>
  <c r="N438" i="5" s="1"/>
  <c r="K433" i="5"/>
  <c r="M433" i="5" s="1"/>
  <c r="J433" i="5"/>
  <c r="G433" i="5"/>
  <c r="I433" i="5" s="1"/>
  <c r="J428" i="5"/>
  <c r="G428" i="5"/>
  <c r="G429" i="5" s="1"/>
  <c r="N427" i="5"/>
  <c r="M427" i="5"/>
  <c r="L427" i="5"/>
  <c r="K427" i="5"/>
  <c r="K429" i="5" s="1"/>
  <c r="J427" i="5"/>
  <c r="G427" i="5"/>
  <c r="K421" i="5"/>
  <c r="O420" i="5"/>
  <c r="N420" i="5"/>
  <c r="K420" i="5"/>
  <c r="M420" i="5" s="1"/>
  <c r="J420" i="5"/>
  <c r="I420" i="5"/>
  <c r="I441" i="5" s="1"/>
  <c r="H420" i="5"/>
  <c r="H441" i="5" s="1"/>
  <c r="G420" i="5"/>
  <c r="O416" i="5"/>
  <c r="M416" i="5"/>
  <c r="L416" i="5"/>
  <c r="N416" i="5" s="1"/>
  <c r="N421" i="5" s="1"/>
  <c r="K416" i="5"/>
  <c r="J416" i="5"/>
  <c r="I416" i="5" s="1"/>
  <c r="H416" i="5" s="1"/>
  <c r="G416" i="5"/>
  <c r="K412" i="5"/>
  <c r="I412" i="5"/>
  <c r="I421" i="5" s="1"/>
  <c r="H412" i="5"/>
  <c r="H421" i="5" s="1"/>
  <c r="J411" i="5"/>
  <c r="J412" i="5" s="1"/>
  <c r="G411" i="5"/>
  <c r="G412" i="5" s="1"/>
  <c r="G421" i="5" s="1"/>
  <c r="N410" i="5"/>
  <c r="M410" i="5"/>
  <c r="L410" i="5"/>
  <c r="K410" i="5"/>
  <c r="J410" i="5"/>
  <c r="G410" i="5"/>
  <c r="I410" i="5" s="1"/>
  <c r="H410" i="5" s="1"/>
  <c r="K403" i="5"/>
  <c r="O402" i="5"/>
  <c r="N402" i="5"/>
  <c r="K402" i="5"/>
  <c r="M402" i="5" s="1"/>
  <c r="J402" i="5"/>
  <c r="I402" i="5"/>
  <c r="H402" i="5"/>
  <c r="G402" i="5"/>
  <c r="O398" i="5"/>
  <c r="N398" i="5"/>
  <c r="N403" i="5" s="1"/>
  <c r="M398" i="5"/>
  <c r="M403" i="5" s="1"/>
  <c r="L398" i="5"/>
  <c r="K398" i="5"/>
  <c r="J398" i="5"/>
  <c r="G398" i="5"/>
  <c r="K394" i="5"/>
  <c r="G394" i="5"/>
  <c r="J393" i="5"/>
  <c r="G393" i="5"/>
  <c r="N392" i="5"/>
  <c r="M392" i="5"/>
  <c r="L392" i="5"/>
  <c r="K392" i="5"/>
  <c r="J392" i="5"/>
  <c r="J394" i="5" s="1"/>
  <c r="J403" i="5" s="1"/>
  <c r="I392" i="5"/>
  <c r="H392" i="5" s="1"/>
  <c r="H394" i="5" s="1"/>
  <c r="G392" i="5"/>
  <c r="O385" i="5"/>
  <c r="N385" i="5"/>
  <c r="K385" i="5"/>
  <c r="K386" i="5" s="1"/>
  <c r="J385" i="5"/>
  <c r="I385" i="5"/>
  <c r="H385" i="5"/>
  <c r="G385" i="5"/>
  <c r="O381" i="5"/>
  <c r="L381" i="5"/>
  <c r="N381" i="5" s="1"/>
  <c r="N386" i="5" s="1"/>
  <c r="K381" i="5"/>
  <c r="M381" i="5" s="1"/>
  <c r="J381" i="5"/>
  <c r="G381" i="5"/>
  <c r="K377" i="5"/>
  <c r="J376" i="5"/>
  <c r="G376" i="5"/>
  <c r="N375" i="5"/>
  <c r="M375" i="5"/>
  <c r="L375" i="5"/>
  <c r="K375" i="5"/>
  <c r="J375" i="5"/>
  <c r="J377" i="5" s="1"/>
  <c r="G375" i="5"/>
  <c r="G377" i="5" s="1"/>
  <c r="O362" i="5"/>
  <c r="N362" i="5"/>
  <c r="K362" i="5"/>
  <c r="M362" i="5" s="1"/>
  <c r="J362" i="5"/>
  <c r="I362" i="5"/>
  <c r="H362" i="5"/>
  <c r="G362" i="5"/>
  <c r="O358" i="5"/>
  <c r="N358" i="5"/>
  <c r="M358" i="5"/>
  <c r="L358" i="5"/>
  <c r="K358" i="5"/>
  <c r="J358" i="5"/>
  <c r="G358" i="5"/>
  <c r="O353" i="5"/>
  <c r="N353" i="5"/>
  <c r="N363" i="5" s="1"/>
  <c r="L353" i="5"/>
  <c r="K353" i="5"/>
  <c r="M353" i="5" s="1"/>
  <c r="M363" i="5" s="1"/>
  <c r="J353" i="5"/>
  <c r="G353" i="5"/>
  <c r="I353" i="5" s="1"/>
  <c r="H353" i="5" s="1"/>
  <c r="K349" i="5"/>
  <c r="I349" i="5"/>
  <c r="J348" i="5"/>
  <c r="J349" i="5" s="1"/>
  <c r="G348" i="5"/>
  <c r="G349" i="5" s="1"/>
  <c r="N347" i="5"/>
  <c r="M347" i="5"/>
  <c r="L347" i="5"/>
  <c r="K347" i="5"/>
  <c r="J347" i="5"/>
  <c r="G347" i="5"/>
  <c r="I347" i="5" s="1"/>
  <c r="H347" i="5" s="1"/>
  <c r="H349" i="5" s="1"/>
  <c r="K341" i="5"/>
  <c r="O340" i="5"/>
  <c r="N340" i="5"/>
  <c r="K340" i="5"/>
  <c r="M340" i="5" s="1"/>
  <c r="J340" i="5"/>
  <c r="I340" i="5"/>
  <c r="H340" i="5"/>
  <c r="G340" i="5"/>
  <c r="O336" i="5"/>
  <c r="N336" i="5"/>
  <c r="M336" i="5"/>
  <c r="L336" i="5"/>
  <c r="K336" i="5"/>
  <c r="J336" i="5"/>
  <c r="G336" i="5"/>
  <c r="O331" i="5"/>
  <c r="L331" i="5"/>
  <c r="N331" i="5" s="1"/>
  <c r="N341" i="5" s="1"/>
  <c r="K331" i="5"/>
  <c r="M331" i="5" s="1"/>
  <c r="M341" i="5" s="1"/>
  <c r="J331" i="5"/>
  <c r="G331" i="5"/>
  <c r="I331" i="5" s="1"/>
  <c r="H331" i="5" s="1"/>
  <c r="K327" i="5"/>
  <c r="J327" i="5"/>
  <c r="J341" i="5" s="1"/>
  <c r="J326" i="5"/>
  <c r="G326" i="5"/>
  <c r="N325" i="5"/>
  <c r="M325" i="5"/>
  <c r="L325" i="5"/>
  <c r="K325" i="5"/>
  <c r="J325" i="5"/>
  <c r="G325" i="5"/>
  <c r="I325" i="5" s="1"/>
  <c r="H325" i="5" s="1"/>
  <c r="H327" i="5" s="1"/>
  <c r="O317" i="5"/>
  <c r="N317" i="5"/>
  <c r="K317" i="5"/>
  <c r="M317" i="5" s="1"/>
  <c r="J317" i="5"/>
  <c r="I317" i="5"/>
  <c r="H317" i="5"/>
  <c r="G317" i="5"/>
  <c r="O313" i="5"/>
  <c r="N313" i="5"/>
  <c r="M313" i="5"/>
  <c r="L313" i="5"/>
  <c r="K313" i="5"/>
  <c r="J313" i="5"/>
  <c r="G313" i="5"/>
  <c r="O308" i="5"/>
  <c r="M308" i="5"/>
  <c r="M318" i="5" s="1"/>
  <c r="L308" i="5"/>
  <c r="N308" i="5" s="1"/>
  <c r="N318" i="5" s="1"/>
  <c r="K308" i="5"/>
  <c r="J308" i="5"/>
  <c r="G308" i="5"/>
  <c r="I308" i="5" s="1"/>
  <c r="H308" i="5" s="1"/>
  <c r="K304" i="5"/>
  <c r="I304" i="5"/>
  <c r="J303" i="5"/>
  <c r="J304" i="5" s="1"/>
  <c r="G303" i="5"/>
  <c r="G304" i="5" s="1"/>
  <c r="N302" i="5"/>
  <c r="M302" i="5"/>
  <c r="L302" i="5"/>
  <c r="K302" i="5"/>
  <c r="J302" i="5"/>
  <c r="G302" i="5"/>
  <c r="I302" i="5" s="1"/>
  <c r="H302" i="5" s="1"/>
  <c r="H304" i="5" s="1"/>
  <c r="K296" i="5"/>
  <c r="O295" i="5"/>
  <c r="N295" i="5"/>
  <c r="K295" i="5"/>
  <c r="M295" i="5" s="1"/>
  <c r="J295" i="5"/>
  <c r="I295" i="5"/>
  <c r="H295" i="5"/>
  <c r="G295" i="5"/>
  <c r="O291" i="5"/>
  <c r="N291" i="5"/>
  <c r="M291" i="5"/>
  <c r="L291" i="5"/>
  <c r="K291" i="5"/>
  <c r="J291" i="5"/>
  <c r="G291" i="5"/>
  <c r="O286" i="5"/>
  <c r="N286" i="5"/>
  <c r="N296" i="5" s="1"/>
  <c r="L286" i="5"/>
  <c r="K286" i="5"/>
  <c r="M286" i="5" s="1"/>
  <c r="M296" i="5" s="1"/>
  <c r="J286" i="5"/>
  <c r="G286" i="5"/>
  <c r="I286" i="5" s="1"/>
  <c r="H286" i="5" s="1"/>
  <c r="K282" i="5"/>
  <c r="J282" i="5"/>
  <c r="J296" i="5" s="1"/>
  <c r="I282" i="5"/>
  <c r="J281" i="5"/>
  <c r="G281" i="5"/>
  <c r="N280" i="5"/>
  <c r="M280" i="5"/>
  <c r="L280" i="5"/>
  <c r="K280" i="5"/>
  <c r="J280" i="5"/>
  <c r="G280" i="5"/>
  <c r="I280" i="5" s="1"/>
  <c r="H280" i="5" s="1"/>
  <c r="H282" i="5" s="1"/>
  <c r="O273" i="5"/>
  <c r="N273" i="5"/>
  <c r="K273" i="5"/>
  <c r="M273" i="5" s="1"/>
  <c r="J273" i="5"/>
  <c r="I273" i="5"/>
  <c r="H273" i="5"/>
  <c r="G273" i="5"/>
  <c r="O269" i="5"/>
  <c r="N269" i="5"/>
  <c r="M269" i="5"/>
  <c r="L269" i="5"/>
  <c r="K269" i="5"/>
  <c r="J269" i="5"/>
  <c r="G269" i="5"/>
  <c r="O264" i="5"/>
  <c r="L264" i="5"/>
  <c r="N264" i="5" s="1"/>
  <c r="N274" i="5" s="1"/>
  <c r="K264" i="5"/>
  <c r="M264" i="5" s="1"/>
  <c r="M274" i="5" s="1"/>
  <c r="J264" i="5"/>
  <c r="G264" i="5"/>
  <c r="I264" i="5" s="1"/>
  <c r="H264" i="5" s="1"/>
  <c r="K260" i="5"/>
  <c r="J259" i="5"/>
  <c r="J260" i="5" s="1"/>
  <c r="G259" i="5"/>
  <c r="N258" i="5"/>
  <c r="M258" i="5"/>
  <c r="L258" i="5"/>
  <c r="K258" i="5"/>
  <c r="J258" i="5"/>
  <c r="G258" i="5"/>
  <c r="I258" i="5" s="1"/>
  <c r="I260" i="5" s="1"/>
  <c r="K247" i="5"/>
  <c r="I247" i="5"/>
  <c r="O246" i="5"/>
  <c r="N246" i="5"/>
  <c r="M246" i="5"/>
  <c r="K246" i="5"/>
  <c r="J246" i="5"/>
  <c r="I246" i="5"/>
  <c r="H246" i="5"/>
  <c r="H250" i="5" s="1"/>
  <c r="G246" i="5"/>
  <c r="O242" i="5"/>
  <c r="N242" i="5"/>
  <c r="N247" i="5" s="1"/>
  <c r="L242" i="5"/>
  <c r="K242" i="5"/>
  <c r="M242" i="5" s="1"/>
  <c r="M247" i="5" s="1"/>
  <c r="J242" i="5"/>
  <c r="G242" i="5"/>
  <c r="I242" i="5" s="1"/>
  <c r="H242" i="5" s="1"/>
  <c r="H247" i="5" s="1"/>
  <c r="K238" i="5"/>
  <c r="I238" i="5"/>
  <c r="J237" i="5"/>
  <c r="J238" i="5" s="1"/>
  <c r="J247" i="5" s="1"/>
  <c r="G237" i="5"/>
  <c r="G238" i="5" s="1"/>
  <c r="G247" i="5" s="1"/>
  <c r="N236" i="5"/>
  <c r="M236" i="5"/>
  <c r="L236" i="5"/>
  <c r="K236" i="5"/>
  <c r="J236" i="5"/>
  <c r="G236" i="5"/>
  <c r="I236" i="5" s="1"/>
  <c r="H236" i="5" s="1"/>
  <c r="H238" i="5" s="1"/>
  <c r="M230" i="5"/>
  <c r="O229" i="5"/>
  <c r="N229" i="5"/>
  <c r="K229" i="5"/>
  <c r="M229" i="5" s="1"/>
  <c r="J229" i="5"/>
  <c r="I229" i="5"/>
  <c r="I250" i="5" s="1"/>
  <c r="H229" i="5"/>
  <c r="G229" i="5"/>
  <c r="O225" i="5"/>
  <c r="N225" i="5"/>
  <c r="N230" i="5" s="1"/>
  <c r="M225" i="5"/>
  <c r="L225" i="5"/>
  <c r="K225" i="5"/>
  <c r="J225" i="5"/>
  <c r="G225" i="5"/>
  <c r="G221" i="5"/>
  <c r="J220" i="5"/>
  <c r="G220" i="5"/>
  <c r="N219" i="5"/>
  <c r="M219" i="5"/>
  <c r="L219" i="5"/>
  <c r="K219" i="5"/>
  <c r="K221" i="5" s="1"/>
  <c r="K230" i="5" s="1"/>
  <c r="J219" i="5"/>
  <c r="J221" i="5" s="1"/>
  <c r="J230" i="5" s="1"/>
  <c r="G219" i="5"/>
  <c r="I219" i="5" s="1"/>
  <c r="N212" i="5"/>
  <c r="N213" i="5" s="1"/>
  <c r="K212" i="5"/>
  <c r="K213" i="5" s="1"/>
  <c r="J212" i="5"/>
  <c r="I212" i="5"/>
  <c r="H212" i="5"/>
  <c r="G212" i="5"/>
  <c r="O208" i="5"/>
  <c r="L208" i="5"/>
  <c r="N208" i="5" s="1"/>
  <c r="K208" i="5"/>
  <c r="M208" i="5" s="1"/>
  <c r="J208" i="5"/>
  <c r="G208" i="5"/>
  <c r="K204" i="5"/>
  <c r="J204" i="5"/>
  <c r="J203" i="5"/>
  <c r="G203" i="5"/>
  <c r="N202" i="5"/>
  <c r="M202" i="5"/>
  <c r="L202" i="5"/>
  <c r="K202" i="5"/>
  <c r="J202" i="5"/>
  <c r="G202" i="5"/>
  <c r="G204" i="5" s="1"/>
  <c r="N195" i="5"/>
  <c r="M195" i="5"/>
  <c r="K195" i="5"/>
  <c r="J195" i="5"/>
  <c r="I195" i="5"/>
  <c r="H195" i="5"/>
  <c r="G195" i="5"/>
  <c r="O191" i="5"/>
  <c r="L191" i="5"/>
  <c r="N191" i="5" s="1"/>
  <c r="N196" i="5" s="1"/>
  <c r="K191" i="5"/>
  <c r="M191" i="5" s="1"/>
  <c r="M196" i="5" s="1"/>
  <c r="J191" i="5"/>
  <c r="G191" i="5"/>
  <c r="G196" i="5" s="1"/>
  <c r="J186" i="5"/>
  <c r="G186" i="5"/>
  <c r="G187" i="5" s="1"/>
  <c r="N185" i="5"/>
  <c r="M185" i="5"/>
  <c r="L185" i="5"/>
  <c r="K185" i="5"/>
  <c r="K187" i="5" s="1"/>
  <c r="J185" i="5"/>
  <c r="J187" i="5" s="1"/>
  <c r="I185" i="5"/>
  <c r="G185" i="5"/>
  <c r="N178" i="5"/>
  <c r="K178" i="5"/>
  <c r="K179" i="5" s="1"/>
  <c r="J178" i="5"/>
  <c r="I178" i="5"/>
  <c r="H178" i="5"/>
  <c r="G178" i="5"/>
  <c r="P174" i="5"/>
  <c r="O174" i="5"/>
  <c r="N174" i="5"/>
  <c r="N179" i="5" s="1"/>
  <c r="L174" i="5"/>
  <c r="K174" i="5"/>
  <c r="M174" i="5" s="1"/>
  <c r="J174" i="5"/>
  <c r="J179" i="5" s="1"/>
  <c r="I174" i="5"/>
  <c r="H174" i="5" s="1"/>
  <c r="G174" i="5"/>
  <c r="G170" i="5"/>
  <c r="G179" i="5" s="1"/>
  <c r="J169" i="5"/>
  <c r="J170" i="5" s="1"/>
  <c r="G169" i="5"/>
  <c r="N168" i="5"/>
  <c r="M168" i="5"/>
  <c r="L168" i="5"/>
  <c r="K168" i="5"/>
  <c r="K170" i="5" s="1"/>
  <c r="J168" i="5"/>
  <c r="G168" i="5"/>
  <c r="I168" i="5" s="1"/>
  <c r="I162" i="5"/>
  <c r="H162" i="5"/>
  <c r="K161" i="5"/>
  <c r="N158" i="5"/>
  <c r="K158" i="5"/>
  <c r="K159" i="5" s="1"/>
  <c r="J158" i="5"/>
  <c r="I158" i="5"/>
  <c r="H158" i="5"/>
  <c r="G158" i="5"/>
  <c r="O154" i="5"/>
  <c r="N154" i="5"/>
  <c r="L154" i="5"/>
  <c r="K154" i="5"/>
  <c r="M154" i="5" s="1"/>
  <c r="J154" i="5"/>
  <c r="I154" i="5"/>
  <c r="H154" i="5"/>
  <c r="G154" i="5"/>
  <c r="G150" i="5"/>
  <c r="G159" i="5" s="1"/>
  <c r="J149" i="5"/>
  <c r="G149" i="5"/>
  <c r="N148" i="5"/>
  <c r="M148" i="5"/>
  <c r="L148" i="5"/>
  <c r="K148" i="5"/>
  <c r="K150" i="5" s="1"/>
  <c r="J148" i="5"/>
  <c r="G148" i="5"/>
  <c r="I148" i="5" s="1"/>
  <c r="K142" i="5"/>
  <c r="I142" i="5"/>
  <c r="N141" i="5"/>
  <c r="K141" i="5"/>
  <c r="M141" i="5" s="1"/>
  <c r="J141" i="5"/>
  <c r="I141" i="5"/>
  <c r="H141" i="5"/>
  <c r="G141" i="5"/>
  <c r="P137" i="5"/>
  <c r="O137" i="5"/>
  <c r="M137" i="5"/>
  <c r="M142" i="5" s="1"/>
  <c r="L137" i="5"/>
  <c r="N137" i="5" s="1"/>
  <c r="N142" i="5" s="1"/>
  <c r="K137" i="5"/>
  <c r="J137" i="5"/>
  <c r="G137" i="5"/>
  <c r="I137" i="5" s="1"/>
  <c r="H137" i="5" s="1"/>
  <c r="K133" i="5"/>
  <c r="I133" i="5"/>
  <c r="J132" i="5"/>
  <c r="J133" i="5" s="1"/>
  <c r="J142" i="5" s="1"/>
  <c r="G132" i="5"/>
  <c r="G133" i="5" s="1"/>
  <c r="G142" i="5" s="1"/>
  <c r="N131" i="5"/>
  <c r="M131" i="5"/>
  <c r="L131" i="5"/>
  <c r="K131" i="5"/>
  <c r="J131" i="5"/>
  <c r="G131" i="5"/>
  <c r="I131" i="5" s="1"/>
  <c r="H131" i="5" s="1"/>
  <c r="H133" i="5" s="1"/>
  <c r="H142" i="5" s="1"/>
  <c r="I22" i="5"/>
  <c r="H22" i="5"/>
  <c r="G22" i="5"/>
  <c r="N21" i="5"/>
  <c r="M21" i="5"/>
  <c r="L21" i="5"/>
  <c r="N20" i="5"/>
  <c r="M20" i="5"/>
  <c r="L20" i="5"/>
  <c r="N19" i="5"/>
  <c r="M19" i="5"/>
  <c r="L19" i="5"/>
  <c r="N18" i="5"/>
  <c r="M18" i="5"/>
  <c r="L18" i="5"/>
  <c r="I18" i="5"/>
  <c r="G18" i="5"/>
  <c r="N17" i="5"/>
  <c r="M17" i="5"/>
  <c r="L17" i="5"/>
  <c r="N16" i="5"/>
  <c r="M16" i="5"/>
  <c r="L16" i="5"/>
  <c r="N15" i="5"/>
  <c r="M15" i="5"/>
  <c r="M22" i="5" s="1"/>
  <c r="L15" i="5"/>
  <c r="N14" i="5"/>
  <c r="N22" i="5" s="1"/>
  <c r="M14" i="5"/>
  <c r="L14" i="5"/>
  <c r="I14" i="5"/>
  <c r="H14" i="5"/>
  <c r="G14" i="5"/>
  <c r="H9" i="5"/>
  <c r="N8" i="5"/>
  <c r="M8" i="5"/>
  <c r="L8" i="5"/>
  <c r="N7" i="5"/>
  <c r="M7" i="5"/>
  <c r="L7" i="5"/>
  <c r="N6" i="5"/>
  <c r="M6" i="5"/>
  <c r="L6" i="5"/>
  <c r="N5" i="5"/>
  <c r="N9" i="5" s="1"/>
  <c r="M5" i="5"/>
  <c r="M9" i="5" s="1"/>
  <c r="L5" i="5"/>
  <c r="I5" i="5"/>
  <c r="I9" i="5" s="1"/>
  <c r="G5" i="5"/>
  <c r="G9" i="5" s="1"/>
  <c r="C25" i="2"/>
  <c r="C29" i="2" s="1"/>
  <c r="H103" i="4"/>
  <c r="R102" i="4"/>
  <c r="Q102" i="4"/>
  <c r="P102" i="4"/>
  <c r="O102" i="4"/>
  <c r="N102" i="4"/>
  <c r="K102" i="4"/>
  <c r="R101" i="4"/>
  <c r="Q101" i="4"/>
  <c r="P101" i="4"/>
  <c r="O101" i="4"/>
  <c r="N101" i="4"/>
  <c r="K101" i="4"/>
  <c r="R100" i="4"/>
  <c r="Q100" i="4"/>
  <c r="P100" i="4"/>
  <c r="O100" i="4"/>
  <c r="N100" i="4"/>
  <c r="K100" i="4"/>
  <c r="R99" i="4"/>
  <c r="Q99" i="4"/>
  <c r="P99" i="4"/>
  <c r="O99" i="4"/>
  <c r="N99" i="4"/>
  <c r="K99" i="4"/>
  <c r="J99" i="4"/>
  <c r="I99" i="4"/>
  <c r="R98" i="4"/>
  <c r="Q98" i="4"/>
  <c r="P98" i="4"/>
  <c r="O98" i="4"/>
  <c r="N98" i="4"/>
  <c r="K98" i="4"/>
  <c r="R97" i="4"/>
  <c r="Q97" i="4"/>
  <c r="P97" i="4"/>
  <c r="O97" i="4"/>
  <c r="N97" i="4"/>
  <c r="K97" i="4"/>
  <c r="R96" i="4"/>
  <c r="Q96" i="4"/>
  <c r="P96" i="4"/>
  <c r="O96" i="4"/>
  <c r="N96" i="4"/>
  <c r="K96" i="4"/>
  <c r="R95" i="4"/>
  <c r="Q95" i="4"/>
  <c r="P95" i="4"/>
  <c r="O95" i="4"/>
  <c r="N95" i="4"/>
  <c r="K95" i="4"/>
  <c r="J95" i="4"/>
  <c r="I95" i="4"/>
  <c r="G95" i="4"/>
  <c r="R94" i="4"/>
  <c r="Q94" i="4"/>
  <c r="P94" i="4"/>
  <c r="O94" i="4"/>
  <c r="N94" i="4"/>
  <c r="K94" i="4"/>
  <c r="R93" i="4"/>
  <c r="Q93" i="4"/>
  <c r="P93" i="4"/>
  <c r="O93" i="4"/>
  <c r="N93" i="4"/>
  <c r="K93" i="4"/>
  <c r="R92" i="4"/>
  <c r="Q92" i="4"/>
  <c r="P92" i="4"/>
  <c r="O92" i="4"/>
  <c r="N92" i="4"/>
  <c r="K92" i="4"/>
  <c r="R91" i="4"/>
  <c r="Q91" i="4"/>
  <c r="P91" i="4"/>
  <c r="O91" i="4"/>
  <c r="N91" i="4"/>
  <c r="K91" i="4"/>
  <c r="R90" i="4"/>
  <c r="Q90" i="4"/>
  <c r="P90" i="4"/>
  <c r="O90" i="4"/>
  <c r="N90" i="4"/>
  <c r="K90" i="4"/>
  <c r="R89" i="4"/>
  <c r="Q89" i="4"/>
  <c r="P89" i="4"/>
  <c r="O89" i="4"/>
  <c r="N89" i="4"/>
  <c r="K89" i="4"/>
  <c r="J89" i="4"/>
  <c r="I89" i="4"/>
  <c r="R88" i="4"/>
  <c r="Q88" i="4"/>
  <c r="P88" i="4"/>
  <c r="O88" i="4"/>
  <c r="N88" i="4"/>
  <c r="K88" i="4"/>
  <c r="R87" i="4"/>
  <c r="Q87" i="4"/>
  <c r="P87" i="4"/>
  <c r="O87" i="4"/>
  <c r="N87" i="4"/>
  <c r="K87" i="4"/>
  <c r="R86" i="4"/>
  <c r="Q86" i="4"/>
  <c r="P86" i="4"/>
  <c r="O86" i="4"/>
  <c r="N86" i="4"/>
  <c r="K86" i="4"/>
  <c r="R85" i="4"/>
  <c r="Q85" i="4"/>
  <c r="P85" i="4"/>
  <c r="O85" i="4"/>
  <c r="N85" i="4"/>
  <c r="K85" i="4"/>
  <c r="J85" i="4"/>
  <c r="I85" i="4"/>
  <c r="G85" i="4"/>
  <c r="R84" i="4"/>
  <c r="Q84" i="4"/>
  <c r="P84" i="4"/>
  <c r="O84" i="4"/>
  <c r="N84" i="4"/>
  <c r="K84" i="4"/>
  <c r="R83" i="4"/>
  <c r="Q83" i="4"/>
  <c r="P83" i="4"/>
  <c r="O83" i="4"/>
  <c r="N83" i="4"/>
  <c r="K83" i="4"/>
  <c r="R82" i="4"/>
  <c r="Q82" i="4"/>
  <c r="P82" i="4"/>
  <c r="O82" i="4"/>
  <c r="N82" i="4"/>
  <c r="K82" i="4"/>
  <c r="R81" i="4"/>
  <c r="Q81" i="4"/>
  <c r="P81" i="4"/>
  <c r="O81" i="4"/>
  <c r="N81" i="4"/>
  <c r="K81" i="4"/>
  <c r="J81" i="4"/>
  <c r="I81" i="4"/>
  <c r="R80" i="4"/>
  <c r="Q80" i="4"/>
  <c r="P80" i="4"/>
  <c r="O80" i="4"/>
  <c r="N80" i="4"/>
  <c r="K80" i="4"/>
  <c r="R79" i="4"/>
  <c r="Q79" i="4"/>
  <c r="P79" i="4"/>
  <c r="O79" i="4"/>
  <c r="N79" i="4"/>
  <c r="K79" i="4"/>
  <c r="R78" i="4"/>
  <c r="Q78" i="4"/>
  <c r="P78" i="4"/>
  <c r="O78" i="4"/>
  <c r="N78" i="4"/>
  <c r="K78" i="4"/>
  <c r="R77" i="4"/>
  <c r="Q77" i="4"/>
  <c r="P77" i="4"/>
  <c r="O77" i="4"/>
  <c r="N77" i="4"/>
  <c r="K77" i="4"/>
  <c r="J77" i="4"/>
  <c r="I77" i="4"/>
  <c r="G77" i="4"/>
  <c r="R76" i="4"/>
  <c r="Q76" i="4"/>
  <c r="P76" i="4"/>
  <c r="O76" i="4"/>
  <c r="N76" i="4"/>
  <c r="K76" i="4"/>
  <c r="R75" i="4"/>
  <c r="Q75" i="4"/>
  <c r="P75" i="4"/>
  <c r="O75" i="4"/>
  <c r="N75" i="4"/>
  <c r="K75" i="4"/>
  <c r="R74" i="4"/>
  <c r="Q74" i="4"/>
  <c r="P74" i="4"/>
  <c r="O74" i="4"/>
  <c r="O103" i="4" s="1"/>
  <c r="N74" i="4"/>
  <c r="K74" i="4"/>
  <c r="R73" i="4"/>
  <c r="Q73" i="4"/>
  <c r="P73" i="4"/>
  <c r="O73" i="4"/>
  <c r="N73" i="4"/>
  <c r="K73" i="4"/>
  <c r="J73" i="4"/>
  <c r="I73" i="4"/>
  <c r="R72" i="4"/>
  <c r="Q72" i="4"/>
  <c r="P72" i="4"/>
  <c r="O72" i="4"/>
  <c r="N72" i="4"/>
  <c r="K72" i="4"/>
  <c r="R71" i="4"/>
  <c r="Q71" i="4"/>
  <c r="P71" i="4"/>
  <c r="O71" i="4"/>
  <c r="N71" i="4"/>
  <c r="K71" i="4"/>
  <c r="R70" i="4"/>
  <c r="Q70" i="4"/>
  <c r="P70" i="4"/>
  <c r="O70" i="4"/>
  <c r="N70" i="4"/>
  <c r="K70" i="4"/>
  <c r="R69" i="4"/>
  <c r="Q69" i="4"/>
  <c r="P69" i="4"/>
  <c r="O69" i="4"/>
  <c r="N69" i="4"/>
  <c r="K69" i="4"/>
  <c r="J69" i="4"/>
  <c r="I69" i="4"/>
  <c r="G69" i="4"/>
  <c r="R68" i="4"/>
  <c r="Q68" i="4"/>
  <c r="P68" i="4"/>
  <c r="O68" i="4"/>
  <c r="N68" i="4"/>
  <c r="K68" i="4"/>
  <c r="R67" i="4"/>
  <c r="Q67" i="4"/>
  <c r="P67" i="4"/>
  <c r="O67" i="4"/>
  <c r="N67" i="4"/>
  <c r="K67" i="4"/>
  <c r="R66" i="4"/>
  <c r="Q66" i="4"/>
  <c r="P66" i="4"/>
  <c r="O66" i="4"/>
  <c r="N66" i="4"/>
  <c r="K66" i="4"/>
  <c r="R65" i="4"/>
  <c r="Q65" i="4"/>
  <c r="P65" i="4"/>
  <c r="O65" i="4"/>
  <c r="N65" i="4"/>
  <c r="K65" i="4"/>
  <c r="R64" i="4"/>
  <c r="Q64" i="4"/>
  <c r="P64" i="4"/>
  <c r="O64" i="4"/>
  <c r="N64" i="4"/>
  <c r="K64" i="4"/>
  <c r="R63" i="4"/>
  <c r="Q63" i="4"/>
  <c r="P63" i="4"/>
  <c r="O63" i="4"/>
  <c r="N63" i="4"/>
  <c r="K63" i="4"/>
  <c r="J63" i="4"/>
  <c r="I63" i="4"/>
  <c r="R62" i="4"/>
  <c r="Q62" i="4"/>
  <c r="P62" i="4"/>
  <c r="O62" i="4"/>
  <c r="N62" i="4"/>
  <c r="K62" i="4"/>
  <c r="R61" i="4"/>
  <c r="Q61" i="4"/>
  <c r="P61" i="4"/>
  <c r="O61" i="4"/>
  <c r="N61" i="4"/>
  <c r="K61" i="4"/>
  <c r="R60" i="4"/>
  <c r="Q60" i="4"/>
  <c r="P60" i="4"/>
  <c r="O60" i="4"/>
  <c r="N60" i="4"/>
  <c r="K60" i="4"/>
  <c r="R59" i="4"/>
  <c r="R103" i="4" s="1"/>
  <c r="Q59" i="4"/>
  <c r="Q103" i="4" s="1"/>
  <c r="P59" i="4"/>
  <c r="P103" i="4" s="1"/>
  <c r="O59" i="4"/>
  <c r="N59" i="4"/>
  <c r="N103" i="4" s="1"/>
  <c r="K59" i="4"/>
  <c r="J59" i="4"/>
  <c r="J103" i="4" s="1"/>
  <c r="I59" i="4"/>
  <c r="I103" i="4" s="1"/>
  <c r="G59" i="4"/>
  <c r="G103" i="4" s="1"/>
  <c r="R52" i="4"/>
  <c r="Q52" i="4"/>
  <c r="P52" i="4"/>
  <c r="O52" i="4"/>
  <c r="N52" i="4"/>
  <c r="K52" i="4"/>
  <c r="R51" i="4"/>
  <c r="Q51" i="4"/>
  <c r="P51" i="4"/>
  <c r="O51" i="4"/>
  <c r="N51" i="4"/>
  <c r="K51" i="4"/>
  <c r="R50" i="4"/>
  <c r="Q50" i="4"/>
  <c r="P50" i="4"/>
  <c r="O50" i="4"/>
  <c r="N50" i="4"/>
  <c r="K50" i="4"/>
  <c r="R49" i="4"/>
  <c r="Q49" i="4"/>
  <c r="P49" i="4"/>
  <c r="O49" i="4"/>
  <c r="N49" i="4"/>
  <c r="K49" i="4"/>
  <c r="J49" i="4"/>
  <c r="I49" i="4"/>
  <c r="R48" i="4"/>
  <c r="Q48" i="4"/>
  <c r="P48" i="4"/>
  <c r="O48" i="4"/>
  <c r="N48" i="4"/>
  <c r="K48" i="4"/>
  <c r="R47" i="4"/>
  <c r="Q47" i="4"/>
  <c r="P47" i="4"/>
  <c r="O47" i="4"/>
  <c r="N47" i="4"/>
  <c r="K47" i="4"/>
  <c r="R46" i="4"/>
  <c r="Q46" i="4"/>
  <c r="P46" i="4"/>
  <c r="O46" i="4"/>
  <c r="N46" i="4"/>
  <c r="K46" i="4"/>
  <c r="R45" i="4"/>
  <c r="Q45" i="4"/>
  <c r="P45" i="4"/>
  <c r="O45" i="4"/>
  <c r="N45" i="4"/>
  <c r="K45" i="4"/>
  <c r="J45" i="4"/>
  <c r="I45" i="4"/>
  <c r="G45" i="4"/>
  <c r="R44" i="4"/>
  <c r="Q44" i="4"/>
  <c r="P44" i="4"/>
  <c r="O44" i="4"/>
  <c r="N44" i="4"/>
  <c r="K44" i="4"/>
  <c r="R43" i="4"/>
  <c r="Q43" i="4"/>
  <c r="P43" i="4"/>
  <c r="O43" i="4"/>
  <c r="N43" i="4"/>
  <c r="K43" i="4"/>
  <c r="R42" i="4"/>
  <c r="Q42" i="4"/>
  <c r="P42" i="4"/>
  <c r="O42" i="4"/>
  <c r="N42" i="4"/>
  <c r="K42" i="4"/>
  <c r="R41" i="4"/>
  <c r="Q41" i="4"/>
  <c r="P41" i="4"/>
  <c r="O41" i="4"/>
  <c r="N41" i="4"/>
  <c r="K41" i="4"/>
  <c r="J41" i="4"/>
  <c r="I41" i="4"/>
  <c r="R40" i="4"/>
  <c r="Q40" i="4"/>
  <c r="P40" i="4"/>
  <c r="O40" i="4"/>
  <c r="N40" i="4"/>
  <c r="K40" i="4"/>
  <c r="R39" i="4"/>
  <c r="Q39" i="4"/>
  <c r="P39" i="4"/>
  <c r="O39" i="4"/>
  <c r="N39" i="4"/>
  <c r="K39" i="4"/>
  <c r="R38" i="4"/>
  <c r="Q38" i="4"/>
  <c r="P38" i="4"/>
  <c r="O38" i="4"/>
  <c r="N38" i="4"/>
  <c r="K38" i="4"/>
  <c r="R37" i="4"/>
  <c r="Q37" i="4"/>
  <c r="P37" i="4"/>
  <c r="O37" i="4"/>
  <c r="N37" i="4"/>
  <c r="K37" i="4"/>
  <c r="J37" i="4"/>
  <c r="I37" i="4"/>
  <c r="G37" i="4"/>
  <c r="R36" i="4"/>
  <c r="Q36" i="4"/>
  <c r="P36" i="4"/>
  <c r="O36" i="4"/>
  <c r="N36" i="4"/>
  <c r="K36" i="4"/>
  <c r="R35" i="4"/>
  <c r="Q35" i="4"/>
  <c r="P35" i="4"/>
  <c r="O35" i="4"/>
  <c r="N35" i="4"/>
  <c r="K35" i="4"/>
  <c r="R34" i="4"/>
  <c r="Q34" i="4"/>
  <c r="P34" i="4"/>
  <c r="O34" i="4"/>
  <c r="N34" i="4"/>
  <c r="K34" i="4"/>
  <c r="R33" i="4"/>
  <c r="Q33" i="4"/>
  <c r="P33" i="4"/>
  <c r="O33" i="4"/>
  <c r="N33" i="4"/>
  <c r="K33" i="4"/>
  <c r="J33" i="4"/>
  <c r="I33" i="4"/>
  <c r="R32" i="4"/>
  <c r="Q32" i="4"/>
  <c r="P32" i="4"/>
  <c r="O32" i="4"/>
  <c r="N32" i="4"/>
  <c r="K32" i="4"/>
  <c r="R31" i="4"/>
  <c r="Q31" i="4"/>
  <c r="P31" i="4"/>
  <c r="O31" i="4"/>
  <c r="N31" i="4"/>
  <c r="K31" i="4"/>
  <c r="R30" i="4"/>
  <c r="Q30" i="4"/>
  <c r="P30" i="4"/>
  <c r="O30" i="4"/>
  <c r="N30" i="4"/>
  <c r="K30" i="4"/>
  <c r="R29" i="4"/>
  <c r="Q29" i="4"/>
  <c r="P29" i="4"/>
  <c r="O29" i="4"/>
  <c r="N29" i="4"/>
  <c r="K29" i="4"/>
  <c r="J29" i="4"/>
  <c r="I29" i="4"/>
  <c r="G29" i="4"/>
  <c r="R28" i="4"/>
  <c r="Q28" i="4"/>
  <c r="P28" i="4"/>
  <c r="O28" i="4"/>
  <c r="N28" i="4"/>
  <c r="K28" i="4"/>
  <c r="R27" i="4"/>
  <c r="Q27" i="4"/>
  <c r="P27" i="4"/>
  <c r="O27" i="4"/>
  <c r="N27" i="4"/>
  <c r="K27" i="4"/>
  <c r="R26" i="4"/>
  <c r="Q26" i="4"/>
  <c r="P26" i="4"/>
  <c r="O26" i="4"/>
  <c r="N26" i="4"/>
  <c r="K26" i="4"/>
  <c r="R25" i="4"/>
  <c r="Q25" i="4"/>
  <c r="P25" i="4"/>
  <c r="O25" i="4"/>
  <c r="N25" i="4"/>
  <c r="K25" i="4"/>
  <c r="J25" i="4"/>
  <c r="I25" i="4"/>
  <c r="G25" i="4"/>
  <c r="R24" i="4"/>
  <c r="Q24" i="4"/>
  <c r="P24" i="4"/>
  <c r="O24" i="4"/>
  <c r="N24" i="4"/>
  <c r="K24" i="4"/>
  <c r="R23" i="4"/>
  <c r="Q23" i="4"/>
  <c r="P23" i="4"/>
  <c r="O23" i="4"/>
  <c r="N23" i="4"/>
  <c r="K23" i="4"/>
  <c r="R22" i="4"/>
  <c r="Q22" i="4"/>
  <c r="P22" i="4"/>
  <c r="O22" i="4"/>
  <c r="N22" i="4"/>
  <c r="K22" i="4"/>
  <c r="R21" i="4"/>
  <c r="Q21" i="4"/>
  <c r="P21" i="4"/>
  <c r="O21" i="4"/>
  <c r="N21" i="4"/>
  <c r="K21" i="4"/>
  <c r="J21" i="4"/>
  <c r="I21" i="4"/>
  <c r="R20" i="4"/>
  <c r="Q20" i="4"/>
  <c r="P20" i="4"/>
  <c r="O20" i="4"/>
  <c r="N20" i="4"/>
  <c r="K20" i="4"/>
  <c r="R19" i="4"/>
  <c r="Q19" i="4"/>
  <c r="P19" i="4"/>
  <c r="O19" i="4"/>
  <c r="N19" i="4"/>
  <c r="K19" i="4"/>
  <c r="R18" i="4"/>
  <c r="Q18" i="4"/>
  <c r="P18" i="4"/>
  <c r="O18" i="4"/>
  <c r="N18" i="4"/>
  <c r="K18" i="4"/>
  <c r="R17" i="4"/>
  <c r="Q17" i="4"/>
  <c r="P17" i="4"/>
  <c r="O17" i="4"/>
  <c r="N17" i="4"/>
  <c r="K17" i="4"/>
  <c r="J17" i="4"/>
  <c r="J53" i="4" s="1"/>
  <c r="I17" i="4"/>
  <c r="G17" i="4"/>
  <c r="R16" i="4"/>
  <c r="Q16" i="4"/>
  <c r="P16" i="4"/>
  <c r="O16" i="4"/>
  <c r="N16" i="4"/>
  <c r="K16" i="4"/>
  <c r="R15" i="4"/>
  <c r="Q15" i="4"/>
  <c r="P15" i="4"/>
  <c r="O15" i="4"/>
  <c r="N15" i="4"/>
  <c r="K15" i="4"/>
  <c r="G15" i="4"/>
  <c r="R14" i="4"/>
  <c r="Q14" i="4"/>
  <c r="P14" i="4"/>
  <c r="O14" i="4"/>
  <c r="N14" i="4"/>
  <c r="K14" i="4"/>
  <c r="R13" i="4"/>
  <c r="Q13" i="4"/>
  <c r="P13" i="4"/>
  <c r="O13" i="4"/>
  <c r="N13" i="4"/>
  <c r="K13" i="4"/>
  <c r="J13" i="4"/>
  <c r="I13" i="4"/>
  <c r="G13" i="4"/>
  <c r="R12" i="4"/>
  <c r="Q12" i="4"/>
  <c r="P12" i="4"/>
  <c r="O12" i="4"/>
  <c r="N12" i="4"/>
  <c r="K12" i="4"/>
  <c r="R11" i="4"/>
  <c r="Q11" i="4"/>
  <c r="P11" i="4"/>
  <c r="O11" i="4"/>
  <c r="N11" i="4"/>
  <c r="K11" i="4"/>
  <c r="R10" i="4"/>
  <c r="Q10" i="4"/>
  <c r="P10" i="4"/>
  <c r="O10" i="4"/>
  <c r="N10" i="4"/>
  <c r="N53" i="4" s="1"/>
  <c r="K10" i="4"/>
  <c r="R9" i="4"/>
  <c r="Q9" i="4"/>
  <c r="P9" i="4"/>
  <c r="O9" i="4"/>
  <c r="N9" i="4"/>
  <c r="K9" i="4"/>
  <c r="J9" i="4"/>
  <c r="I9" i="4"/>
  <c r="R8" i="4"/>
  <c r="Q8" i="4"/>
  <c r="Q53" i="4" s="1"/>
  <c r="P8" i="4"/>
  <c r="P53" i="4" s="1"/>
  <c r="O8" i="4"/>
  <c r="O53" i="4" s="1"/>
  <c r="N8" i="4"/>
  <c r="K8" i="4"/>
  <c r="R7" i="4"/>
  <c r="Q7" i="4"/>
  <c r="P7" i="4"/>
  <c r="O7" i="4"/>
  <c r="N7" i="4"/>
  <c r="K7" i="4"/>
  <c r="J7" i="4"/>
  <c r="I7" i="4"/>
  <c r="I53" i="4" s="1"/>
  <c r="G7" i="4"/>
  <c r="R6" i="4"/>
  <c r="R53" i="4" s="1"/>
  <c r="Q6" i="4"/>
  <c r="P6" i="4"/>
  <c r="O6" i="4"/>
  <c r="N6" i="4"/>
  <c r="K6" i="4"/>
  <c r="R5" i="4"/>
  <c r="Q5" i="4"/>
  <c r="P5" i="4"/>
  <c r="O5" i="4"/>
  <c r="N5" i="4"/>
  <c r="K5" i="4"/>
  <c r="H5" i="4"/>
  <c r="H53" i="4" s="1"/>
  <c r="G5" i="4"/>
  <c r="G53" i="4" s="1"/>
  <c r="Q490" i="3"/>
  <c r="P490" i="3"/>
  <c r="N490" i="3"/>
  <c r="O490" i="3" s="1"/>
  <c r="M490" i="3"/>
  <c r="K490" i="3"/>
  <c r="J490" i="3"/>
  <c r="I490" i="3"/>
  <c r="H490" i="3"/>
  <c r="Q486" i="3"/>
  <c r="P486" i="3"/>
  <c r="N486" i="3"/>
  <c r="O486" i="3" s="1"/>
  <c r="O491" i="3" s="1"/>
  <c r="L486" i="3"/>
  <c r="M486" i="3" s="1"/>
  <c r="M491" i="3" s="1"/>
  <c r="K486" i="3"/>
  <c r="J486" i="3"/>
  <c r="I486" i="3"/>
  <c r="I491" i="3" s="1"/>
  <c r="H486" i="3"/>
  <c r="J481" i="3"/>
  <c r="J482" i="3" s="1"/>
  <c r="H481" i="3"/>
  <c r="H482" i="3" s="1"/>
  <c r="H491" i="3" s="1"/>
  <c r="P480" i="3"/>
  <c r="O480" i="3"/>
  <c r="N480" i="3"/>
  <c r="M480" i="3"/>
  <c r="L480" i="3"/>
  <c r="K480" i="3"/>
  <c r="K482" i="3" s="1"/>
  <c r="J480" i="3"/>
  <c r="H480" i="3"/>
  <c r="I480" i="3" s="1"/>
  <c r="I482" i="3" s="1"/>
  <c r="Q470" i="3"/>
  <c r="P470" i="3"/>
  <c r="N470" i="3"/>
  <c r="O470" i="3" s="1"/>
  <c r="O471" i="3" s="1"/>
  <c r="M470" i="3"/>
  <c r="K470" i="3"/>
  <c r="J470" i="3"/>
  <c r="J471" i="3" s="1"/>
  <c r="I470" i="3"/>
  <c r="H470" i="3"/>
  <c r="Q466" i="3"/>
  <c r="O466" i="3"/>
  <c r="L466" i="3"/>
  <c r="M466" i="3" s="1"/>
  <c r="M471" i="3" s="1"/>
  <c r="M473" i="3" s="1"/>
  <c r="K466" i="3"/>
  <c r="J466" i="3"/>
  <c r="H466" i="3"/>
  <c r="I466" i="3" s="1"/>
  <c r="I471" i="3" s="1"/>
  <c r="J462" i="3"/>
  <c r="J461" i="3"/>
  <c r="H461" i="3"/>
  <c r="P460" i="3"/>
  <c r="O460" i="3"/>
  <c r="N460" i="3"/>
  <c r="M460" i="3"/>
  <c r="L460" i="3"/>
  <c r="K460" i="3"/>
  <c r="K462" i="3" s="1"/>
  <c r="J460" i="3"/>
  <c r="I460" i="3"/>
  <c r="I462" i="3" s="1"/>
  <c r="H460" i="3"/>
  <c r="H462" i="3" s="1"/>
  <c r="Q453" i="3"/>
  <c r="P453" i="3"/>
  <c r="O453" i="3"/>
  <c r="N453" i="3"/>
  <c r="M453" i="3"/>
  <c r="K453" i="3"/>
  <c r="J453" i="3"/>
  <c r="I453" i="3"/>
  <c r="H453" i="3"/>
  <c r="Q449" i="3"/>
  <c r="O449" i="3"/>
  <c r="O454" i="3" s="1"/>
  <c r="L449" i="3"/>
  <c r="M449" i="3" s="1"/>
  <c r="M454" i="3" s="1"/>
  <c r="K449" i="3"/>
  <c r="K454" i="3" s="1"/>
  <c r="J449" i="3"/>
  <c r="J454" i="3" s="1"/>
  <c r="H449" i="3"/>
  <c r="I449" i="3" s="1"/>
  <c r="I454" i="3" s="1"/>
  <c r="J444" i="3"/>
  <c r="H444" i="3"/>
  <c r="H445" i="3" s="1"/>
  <c r="H454" i="3" s="1"/>
  <c r="P443" i="3"/>
  <c r="O443" i="3"/>
  <c r="N443" i="3"/>
  <c r="M443" i="3"/>
  <c r="L443" i="3"/>
  <c r="K443" i="3"/>
  <c r="K445" i="3" s="1"/>
  <c r="J443" i="3"/>
  <c r="J445" i="3" s="1"/>
  <c r="H443" i="3"/>
  <c r="I443" i="3" s="1"/>
  <c r="I445" i="3" s="1"/>
  <c r="K436" i="3"/>
  <c r="Q435" i="3"/>
  <c r="P435" i="3"/>
  <c r="O435" i="3"/>
  <c r="N435" i="3"/>
  <c r="M435" i="3"/>
  <c r="K435" i="3"/>
  <c r="J435" i="3"/>
  <c r="I435" i="3"/>
  <c r="I474" i="3" s="1"/>
  <c r="H435" i="3"/>
  <c r="Q431" i="3"/>
  <c r="O431" i="3"/>
  <c r="O436" i="3" s="1"/>
  <c r="L431" i="3"/>
  <c r="M431" i="3" s="1"/>
  <c r="M436" i="3" s="1"/>
  <c r="K431" i="3"/>
  <c r="J431" i="3"/>
  <c r="I431" i="3" s="1"/>
  <c r="H431" i="3"/>
  <c r="K427" i="3"/>
  <c r="J426" i="3"/>
  <c r="J427" i="3" s="1"/>
  <c r="J436" i="3" s="1"/>
  <c r="H426" i="3"/>
  <c r="H427" i="3" s="1"/>
  <c r="H436" i="3" s="1"/>
  <c r="P425" i="3"/>
  <c r="O425" i="3"/>
  <c r="N425" i="3"/>
  <c r="M425" i="3"/>
  <c r="L425" i="3"/>
  <c r="K425" i="3"/>
  <c r="J425" i="3"/>
  <c r="H425" i="3"/>
  <c r="I425" i="3" s="1"/>
  <c r="I427" i="3" s="1"/>
  <c r="K419" i="3"/>
  <c r="Q418" i="3"/>
  <c r="P418" i="3"/>
  <c r="N418" i="3"/>
  <c r="O418" i="3" s="1"/>
  <c r="M418" i="3"/>
  <c r="K418" i="3"/>
  <c r="J418" i="3"/>
  <c r="I418" i="3"/>
  <c r="H418" i="3"/>
  <c r="Q414" i="3"/>
  <c r="O414" i="3"/>
  <c r="L414" i="3"/>
  <c r="M414" i="3" s="1"/>
  <c r="M419" i="3" s="1"/>
  <c r="K414" i="3"/>
  <c r="J414" i="3"/>
  <c r="H414" i="3"/>
  <c r="I414" i="3" s="1"/>
  <c r="K410" i="3"/>
  <c r="J409" i="3"/>
  <c r="J410" i="3" s="1"/>
  <c r="J419" i="3" s="1"/>
  <c r="H409" i="3"/>
  <c r="H410" i="3" s="1"/>
  <c r="H419" i="3" s="1"/>
  <c r="P408" i="3"/>
  <c r="O408" i="3"/>
  <c r="N408" i="3"/>
  <c r="M408" i="3"/>
  <c r="L408" i="3"/>
  <c r="K408" i="3"/>
  <c r="J408" i="3"/>
  <c r="H408" i="3"/>
  <c r="I408" i="3" s="1"/>
  <c r="I410" i="3" s="1"/>
  <c r="Q395" i="3"/>
  <c r="P395" i="3"/>
  <c r="O395" i="3"/>
  <c r="N395" i="3"/>
  <c r="M395" i="3"/>
  <c r="K395" i="3"/>
  <c r="J395" i="3"/>
  <c r="I395" i="3"/>
  <c r="H395" i="3"/>
  <c r="Q391" i="3"/>
  <c r="P391" i="3"/>
  <c r="N391" i="3"/>
  <c r="O391" i="3" s="1"/>
  <c r="L391" i="3"/>
  <c r="M391" i="3" s="1"/>
  <c r="K391" i="3"/>
  <c r="K396" i="3" s="1"/>
  <c r="K398" i="3" s="1"/>
  <c r="J391" i="3"/>
  <c r="I391" i="3" s="1"/>
  <c r="I396" i="3" s="1"/>
  <c r="I398" i="3" s="1"/>
  <c r="H391" i="3"/>
  <c r="Q386" i="3"/>
  <c r="P386" i="3"/>
  <c r="N386" i="3"/>
  <c r="O386" i="3" s="1"/>
  <c r="L386" i="3"/>
  <c r="M386" i="3" s="1"/>
  <c r="K386" i="3"/>
  <c r="J386" i="3"/>
  <c r="H386" i="3"/>
  <c r="I386" i="3" s="1"/>
  <c r="J381" i="3"/>
  <c r="H381" i="3"/>
  <c r="H382" i="3" s="1"/>
  <c r="H396" i="3" s="1"/>
  <c r="P380" i="3"/>
  <c r="O380" i="3"/>
  <c r="N380" i="3"/>
  <c r="M380" i="3"/>
  <c r="L380" i="3"/>
  <c r="K380" i="3"/>
  <c r="K382" i="3" s="1"/>
  <c r="J380" i="3"/>
  <c r="J382" i="3" s="1"/>
  <c r="H380" i="3"/>
  <c r="I380" i="3" s="1"/>
  <c r="I382" i="3" s="1"/>
  <c r="K374" i="3"/>
  <c r="Q373" i="3"/>
  <c r="P373" i="3"/>
  <c r="O373" i="3"/>
  <c r="N373" i="3"/>
  <c r="M373" i="3"/>
  <c r="K373" i="3"/>
  <c r="J373" i="3"/>
  <c r="I373" i="3"/>
  <c r="H373" i="3"/>
  <c r="Q369" i="3"/>
  <c r="P369" i="3"/>
  <c r="N369" i="3"/>
  <c r="O369" i="3" s="1"/>
  <c r="L369" i="3"/>
  <c r="M369" i="3" s="1"/>
  <c r="K369" i="3"/>
  <c r="J369" i="3"/>
  <c r="H369" i="3"/>
  <c r="I369" i="3" s="1"/>
  <c r="I374" i="3" s="1"/>
  <c r="Q364" i="3"/>
  <c r="P364" i="3"/>
  <c r="N364" i="3"/>
  <c r="O364" i="3" s="1"/>
  <c r="L364" i="3"/>
  <c r="M364" i="3" s="1"/>
  <c r="K364" i="3"/>
  <c r="J364" i="3"/>
  <c r="I364" i="3" s="1"/>
  <c r="H364" i="3"/>
  <c r="K360" i="3"/>
  <c r="J359" i="3"/>
  <c r="J360" i="3" s="1"/>
  <c r="J374" i="3" s="1"/>
  <c r="H359" i="3"/>
  <c r="H360" i="3" s="1"/>
  <c r="H374" i="3" s="1"/>
  <c r="P358" i="3"/>
  <c r="O358" i="3"/>
  <c r="N358" i="3"/>
  <c r="M358" i="3"/>
  <c r="L358" i="3"/>
  <c r="K358" i="3"/>
  <c r="J358" i="3"/>
  <c r="H358" i="3"/>
  <c r="I358" i="3" s="1"/>
  <c r="I360" i="3" s="1"/>
  <c r="K351" i="3"/>
  <c r="Q350" i="3"/>
  <c r="P350" i="3"/>
  <c r="N350" i="3"/>
  <c r="O350" i="3" s="1"/>
  <c r="M350" i="3"/>
  <c r="K350" i="3"/>
  <c r="J350" i="3"/>
  <c r="I350" i="3"/>
  <c r="H350" i="3"/>
  <c r="Q346" i="3"/>
  <c r="P346" i="3"/>
  <c r="N346" i="3"/>
  <c r="O346" i="3" s="1"/>
  <c r="M346" i="3"/>
  <c r="L346" i="3"/>
  <c r="K346" i="3"/>
  <c r="J346" i="3"/>
  <c r="H346" i="3"/>
  <c r="I346" i="3" s="1"/>
  <c r="I351" i="3" s="1"/>
  <c r="Q341" i="3"/>
  <c r="P341" i="3"/>
  <c r="N341" i="3"/>
  <c r="O341" i="3" s="1"/>
  <c r="L341" i="3"/>
  <c r="M341" i="3" s="1"/>
  <c r="M351" i="3" s="1"/>
  <c r="K341" i="3"/>
  <c r="J341" i="3"/>
  <c r="H341" i="3"/>
  <c r="I341" i="3" s="1"/>
  <c r="K337" i="3"/>
  <c r="J336" i="3"/>
  <c r="J337" i="3" s="1"/>
  <c r="J351" i="3" s="1"/>
  <c r="H336" i="3"/>
  <c r="H337" i="3" s="1"/>
  <c r="P335" i="3"/>
  <c r="O335" i="3"/>
  <c r="N335" i="3"/>
  <c r="M335" i="3"/>
  <c r="L335" i="3"/>
  <c r="K335" i="3"/>
  <c r="J335" i="3"/>
  <c r="H335" i="3"/>
  <c r="I335" i="3" s="1"/>
  <c r="I337" i="3" s="1"/>
  <c r="K329" i="3"/>
  <c r="Q328" i="3"/>
  <c r="P328" i="3"/>
  <c r="N328" i="3"/>
  <c r="O328" i="3" s="1"/>
  <c r="M328" i="3"/>
  <c r="K328" i="3"/>
  <c r="J328" i="3"/>
  <c r="J329" i="3" s="1"/>
  <c r="I328" i="3"/>
  <c r="H328" i="3"/>
  <c r="Q324" i="3"/>
  <c r="P324" i="3"/>
  <c r="O324" i="3"/>
  <c r="N324" i="3"/>
  <c r="L324" i="3"/>
  <c r="M324" i="3" s="1"/>
  <c r="M329" i="3" s="1"/>
  <c r="K324" i="3"/>
  <c r="J324" i="3"/>
  <c r="H324" i="3"/>
  <c r="H329" i="3" s="1"/>
  <c r="Q319" i="3"/>
  <c r="P319" i="3"/>
  <c r="N319" i="3"/>
  <c r="O319" i="3" s="1"/>
  <c r="O329" i="3" s="1"/>
  <c r="M319" i="3"/>
  <c r="L319" i="3"/>
  <c r="K319" i="3"/>
  <c r="J319" i="3"/>
  <c r="H319" i="3"/>
  <c r="I319" i="3" s="1"/>
  <c r="K315" i="3"/>
  <c r="J315" i="3"/>
  <c r="H315" i="3"/>
  <c r="J314" i="3"/>
  <c r="H314" i="3"/>
  <c r="P313" i="3"/>
  <c r="O313" i="3"/>
  <c r="N313" i="3"/>
  <c r="M313" i="3"/>
  <c r="L313" i="3"/>
  <c r="K313" i="3"/>
  <c r="J313" i="3"/>
  <c r="H313" i="3"/>
  <c r="I313" i="3" s="1"/>
  <c r="I315" i="3" s="1"/>
  <c r="Q306" i="3"/>
  <c r="P306" i="3"/>
  <c r="N306" i="3"/>
  <c r="O306" i="3" s="1"/>
  <c r="M306" i="3"/>
  <c r="K306" i="3"/>
  <c r="K307" i="3" s="1"/>
  <c r="J306" i="3"/>
  <c r="J307" i="3" s="1"/>
  <c r="I306" i="3"/>
  <c r="H306" i="3"/>
  <c r="Q302" i="3"/>
  <c r="P302" i="3"/>
  <c r="N302" i="3"/>
  <c r="O302" i="3" s="1"/>
  <c r="L302" i="3"/>
  <c r="M302" i="3" s="1"/>
  <c r="K302" i="3"/>
  <c r="J302" i="3"/>
  <c r="H302" i="3"/>
  <c r="I302" i="3" s="1"/>
  <c r="I307" i="3" s="1"/>
  <c r="Q297" i="3"/>
  <c r="P297" i="3"/>
  <c r="O297" i="3"/>
  <c r="N297" i="3"/>
  <c r="L297" i="3"/>
  <c r="M297" i="3" s="1"/>
  <c r="K297" i="3"/>
  <c r="J297" i="3"/>
  <c r="H297" i="3"/>
  <c r="I297" i="3" s="1"/>
  <c r="K293" i="3"/>
  <c r="J293" i="3"/>
  <c r="H293" i="3"/>
  <c r="J292" i="3"/>
  <c r="H292" i="3"/>
  <c r="P291" i="3"/>
  <c r="O291" i="3"/>
  <c r="N291" i="3"/>
  <c r="M291" i="3"/>
  <c r="L291" i="3"/>
  <c r="K291" i="3"/>
  <c r="J291" i="3"/>
  <c r="I291" i="3"/>
  <c r="I293" i="3" s="1"/>
  <c r="H291" i="3"/>
  <c r="K280" i="3"/>
  <c r="J280" i="3"/>
  <c r="Q279" i="3"/>
  <c r="P279" i="3"/>
  <c r="N279" i="3"/>
  <c r="O279" i="3" s="1"/>
  <c r="O280" i="3" s="1"/>
  <c r="M279" i="3"/>
  <c r="K279" i="3"/>
  <c r="J279" i="3"/>
  <c r="I279" i="3"/>
  <c r="I283" i="3" s="1"/>
  <c r="H279" i="3"/>
  <c r="Q275" i="3"/>
  <c r="P275" i="3"/>
  <c r="O275" i="3"/>
  <c r="N275" i="3"/>
  <c r="L275" i="3"/>
  <c r="M275" i="3" s="1"/>
  <c r="M280" i="3" s="1"/>
  <c r="K275" i="3"/>
  <c r="J275" i="3"/>
  <c r="H275" i="3"/>
  <c r="I275" i="3" s="1"/>
  <c r="K271" i="3"/>
  <c r="J271" i="3"/>
  <c r="J270" i="3"/>
  <c r="H270" i="3"/>
  <c r="P269" i="3"/>
  <c r="O269" i="3"/>
  <c r="N269" i="3"/>
  <c r="M269" i="3"/>
  <c r="L269" i="3"/>
  <c r="K269" i="3"/>
  <c r="J269" i="3"/>
  <c r="H269" i="3"/>
  <c r="I269" i="3" s="1"/>
  <c r="I271" i="3" s="1"/>
  <c r="Q262" i="3"/>
  <c r="P262" i="3"/>
  <c r="N262" i="3"/>
  <c r="O262" i="3" s="1"/>
  <c r="M262" i="3"/>
  <c r="K262" i="3"/>
  <c r="K263" i="3" s="1"/>
  <c r="J262" i="3"/>
  <c r="J263" i="3" s="1"/>
  <c r="I262" i="3"/>
  <c r="H262" i="3"/>
  <c r="Q258" i="3"/>
  <c r="L258" i="3"/>
  <c r="N258" i="3" s="1"/>
  <c r="K258" i="3"/>
  <c r="J258" i="3"/>
  <c r="I258" i="3"/>
  <c r="H258" i="3"/>
  <c r="K254" i="3"/>
  <c r="J253" i="3"/>
  <c r="H253" i="3"/>
  <c r="H254" i="3" s="1"/>
  <c r="P252" i="3"/>
  <c r="O252" i="3"/>
  <c r="N252" i="3"/>
  <c r="M252" i="3"/>
  <c r="L252" i="3"/>
  <c r="K252" i="3"/>
  <c r="J252" i="3"/>
  <c r="J254" i="3" s="1"/>
  <c r="H252" i="3"/>
  <c r="P245" i="3"/>
  <c r="O245" i="3"/>
  <c r="N245" i="3"/>
  <c r="M245" i="3"/>
  <c r="K245" i="3"/>
  <c r="J245" i="3"/>
  <c r="I245" i="3"/>
  <c r="H245" i="3"/>
  <c r="Q241" i="3"/>
  <c r="L241" i="3"/>
  <c r="N241" i="3" s="1"/>
  <c r="K241" i="3"/>
  <c r="K246" i="3" s="1"/>
  <c r="J241" i="3"/>
  <c r="I241" i="3" s="1"/>
  <c r="H241" i="3"/>
  <c r="K237" i="3"/>
  <c r="J236" i="3"/>
  <c r="J237" i="3" s="1"/>
  <c r="H236" i="3"/>
  <c r="H237" i="3" s="1"/>
  <c r="H246" i="3" s="1"/>
  <c r="P235" i="3"/>
  <c r="O235" i="3"/>
  <c r="N235" i="3"/>
  <c r="M235" i="3"/>
  <c r="L235" i="3"/>
  <c r="K235" i="3"/>
  <c r="J235" i="3"/>
  <c r="H235" i="3"/>
  <c r="I235" i="3" s="1"/>
  <c r="I237" i="3" s="1"/>
  <c r="M229" i="3"/>
  <c r="K229" i="3"/>
  <c r="P228" i="3"/>
  <c r="O228" i="3"/>
  <c r="N228" i="3"/>
  <c r="M228" i="3"/>
  <c r="K228" i="3"/>
  <c r="J228" i="3"/>
  <c r="I228" i="3"/>
  <c r="H228" i="3"/>
  <c r="Q224" i="3"/>
  <c r="P224" i="3"/>
  <c r="O224" i="3"/>
  <c r="O229" i="3" s="1"/>
  <c r="N224" i="3"/>
  <c r="M224" i="3"/>
  <c r="L224" i="3"/>
  <c r="K224" i="3"/>
  <c r="J224" i="3"/>
  <c r="H224" i="3"/>
  <c r="I224" i="3" s="1"/>
  <c r="I229" i="3" s="1"/>
  <c r="K220" i="3"/>
  <c r="H220" i="3"/>
  <c r="H229" i="3" s="1"/>
  <c r="J219" i="3"/>
  <c r="J220" i="3" s="1"/>
  <c r="J229" i="3" s="1"/>
  <c r="H219" i="3"/>
  <c r="P218" i="3"/>
  <c r="O218" i="3"/>
  <c r="N218" i="3"/>
  <c r="M218" i="3"/>
  <c r="L218" i="3"/>
  <c r="K218" i="3"/>
  <c r="J218" i="3"/>
  <c r="H218" i="3"/>
  <c r="I218" i="3" s="1"/>
  <c r="I220" i="3" s="1"/>
  <c r="P211" i="3"/>
  <c r="N211" i="3"/>
  <c r="O211" i="3" s="1"/>
  <c r="M211" i="3"/>
  <c r="K211" i="3"/>
  <c r="K212" i="3" s="1"/>
  <c r="J211" i="3"/>
  <c r="I211" i="3"/>
  <c r="H211" i="3"/>
  <c r="R207" i="3"/>
  <c r="Q207" i="3"/>
  <c r="L207" i="3"/>
  <c r="N207" i="3" s="1"/>
  <c r="K207" i="3"/>
  <c r="J207" i="3"/>
  <c r="H207" i="3"/>
  <c r="K203" i="3"/>
  <c r="J202" i="3"/>
  <c r="H202" i="3"/>
  <c r="P201" i="3"/>
  <c r="O201" i="3"/>
  <c r="N201" i="3"/>
  <c r="M201" i="3"/>
  <c r="L201" i="3"/>
  <c r="K201" i="3"/>
  <c r="J201" i="3"/>
  <c r="J203" i="3" s="1"/>
  <c r="H201" i="3"/>
  <c r="H203" i="3" s="1"/>
  <c r="K192" i="3"/>
  <c r="K194" i="3" s="1"/>
  <c r="P191" i="3"/>
  <c r="N191" i="3"/>
  <c r="O191" i="3" s="1"/>
  <c r="M191" i="3"/>
  <c r="K191" i="3"/>
  <c r="J191" i="3"/>
  <c r="J192" i="3" s="1"/>
  <c r="I191" i="3"/>
  <c r="I195" i="3" s="1"/>
  <c r="H191" i="3"/>
  <c r="Q187" i="3"/>
  <c r="L187" i="3"/>
  <c r="N187" i="3" s="1"/>
  <c r="K187" i="3"/>
  <c r="J187" i="3"/>
  <c r="H187" i="3"/>
  <c r="K183" i="3"/>
  <c r="J183" i="3"/>
  <c r="J182" i="3"/>
  <c r="H182" i="3"/>
  <c r="P181" i="3"/>
  <c r="O181" i="3"/>
  <c r="N181" i="3"/>
  <c r="M181" i="3"/>
  <c r="L181" i="3"/>
  <c r="K181" i="3"/>
  <c r="J181" i="3"/>
  <c r="H181" i="3"/>
  <c r="I181" i="3" s="1"/>
  <c r="I183" i="3" s="1"/>
  <c r="P174" i="3"/>
  <c r="N174" i="3"/>
  <c r="O174" i="3" s="1"/>
  <c r="M174" i="3"/>
  <c r="K174" i="3"/>
  <c r="K175" i="3" s="1"/>
  <c r="J174" i="3"/>
  <c r="I174" i="3"/>
  <c r="H174" i="3"/>
  <c r="R170" i="3"/>
  <c r="Q170" i="3"/>
  <c r="L170" i="3"/>
  <c r="N170" i="3" s="1"/>
  <c r="K170" i="3"/>
  <c r="J170" i="3"/>
  <c r="I170" i="3"/>
  <c r="H170" i="3"/>
  <c r="H175" i="3" s="1"/>
  <c r="K166" i="3"/>
  <c r="J165" i="3"/>
  <c r="H165" i="3"/>
  <c r="H166" i="3" s="1"/>
  <c r="P164" i="3"/>
  <c r="O164" i="3"/>
  <c r="N164" i="3"/>
  <c r="M164" i="3"/>
  <c r="L164" i="3"/>
  <c r="K164" i="3"/>
  <c r="J164" i="3"/>
  <c r="J166" i="3" s="1"/>
  <c r="H164" i="3"/>
  <c r="B48" i="3"/>
  <c r="P47" i="3"/>
  <c r="O47" i="3"/>
  <c r="N47" i="3"/>
  <c r="M47" i="3"/>
  <c r="J47" i="3"/>
  <c r="P46" i="3"/>
  <c r="O46" i="3"/>
  <c r="N46" i="3"/>
  <c r="M46" i="3"/>
  <c r="J46" i="3"/>
  <c r="P45" i="3"/>
  <c r="O45" i="3"/>
  <c r="N45" i="3"/>
  <c r="M45" i="3"/>
  <c r="J45" i="3"/>
  <c r="P44" i="3"/>
  <c r="O44" i="3"/>
  <c r="N44" i="3"/>
  <c r="M44" i="3"/>
  <c r="J44" i="3"/>
  <c r="I44" i="3"/>
  <c r="H44" i="3"/>
  <c r="G44" i="3"/>
  <c r="G48" i="3" s="1"/>
  <c r="P43" i="3"/>
  <c r="O43" i="3"/>
  <c r="N43" i="3"/>
  <c r="M43" i="3"/>
  <c r="J43" i="3"/>
  <c r="P42" i="3"/>
  <c r="O42" i="3"/>
  <c r="N42" i="3"/>
  <c r="M42" i="3"/>
  <c r="J42" i="3"/>
  <c r="P41" i="3"/>
  <c r="O41" i="3"/>
  <c r="N41" i="3"/>
  <c r="M41" i="3"/>
  <c r="J41" i="3"/>
  <c r="P40" i="3"/>
  <c r="O40" i="3"/>
  <c r="N40" i="3"/>
  <c r="M40" i="3"/>
  <c r="J40" i="3"/>
  <c r="I40" i="3"/>
  <c r="H40" i="3"/>
  <c r="G40" i="3"/>
  <c r="P39" i="3"/>
  <c r="O39" i="3"/>
  <c r="N39" i="3"/>
  <c r="M39" i="3"/>
  <c r="J39" i="3"/>
  <c r="P38" i="3"/>
  <c r="O38" i="3"/>
  <c r="N38" i="3"/>
  <c r="M38" i="3"/>
  <c r="J38" i="3"/>
  <c r="P37" i="3"/>
  <c r="O37" i="3"/>
  <c r="N37" i="3"/>
  <c r="M37" i="3"/>
  <c r="J37" i="3"/>
  <c r="P36" i="3"/>
  <c r="O36" i="3"/>
  <c r="N36" i="3"/>
  <c r="M36" i="3"/>
  <c r="J36" i="3"/>
  <c r="I36" i="3"/>
  <c r="H36" i="3"/>
  <c r="G36" i="3"/>
  <c r="P35" i="3"/>
  <c r="O35" i="3"/>
  <c r="N35" i="3"/>
  <c r="M35" i="3"/>
  <c r="J35" i="3"/>
  <c r="P34" i="3"/>
  <c r="O34" i="3"/>
  <c r="N34" i="3"/>
  <c r="M34" i="3"/>
  <c r="J34" i="3"/>
  <c r="P33" i="3"/>
  <c r="O33" i="3"/>
  <c r="N33" i="3"/>
  <c r="M33" i="3"/>
  <c r="J33" i="3"/>
  <c r="P32" i="3"/>
  <c r="O32" i="3"/>
  <c r="N32" i="3"/>
  <c r="M32" i="3"/>
  <c r="J32" i="3"/>
  <c r="I32" i="3"/>
  <c r="H32" i="3"/>
  <c r="G32" i="3"/>
  <c r="P31" i="3"/>
  <c r="O31" i="3"/>
  <c r="N31" i="3"/>
  <c r="M31" i="3"/>
  <c r="J31" i="3"/>
  <c r="P30" i="3"/>
  <c r="O30" i="3"/>
  <c r="N30" i="3"/>
  <c r="M30" i="3"/>
  <c r="J30" i="3"/>
  <c r="P29" i="3"/>
  <c r="O29" i="3"/>
  <c r="N29" i="3"/>
  <c r="M29" i="3"/>
  <c r="J29" i="3"/>
  <c r="P28" i="3"/>
  <c r="O28" i="3"/>
  <c r="N28" i="3"/>
  <c r="M28" i="3"/>
  <c r="J28" i="3"/>
  <c r="I28" i="3"/>
  <c r="H28" i="3"/>
  <c r="G28" i="3"/>
  <c r="P27" i="3"/>
  <c r="O27" i="3"/>
  <c r="N27" i="3"/>
  <c r="M27" i="3"/>
  <c r="J27" i="3"/>
  <c r="P26" i="3"/>
  <c r="O26" i="3"/>
  <c r="N26" i="3"/>
  <c r="M26" i="3"/>
  <c r="J26" i="3"/>
  <c r="P25" i="3"/>
  <c r="O25" i="3"/>
  <c r="N25" i="3"/>
  <c r="M25" i="3"/>
  <c r="J25" i="3"/>
  <c r="P24" i="3"/>
  <c r="O24" i="3"/>
  <c r="N24" i="3"/>
  <c r="M24" i="3"/>
  <c r="J24" i="3"/>
  <c r="I24" i="3"/>
  <c r="H24" i="3"/>
  <c r="G24" i="3"/>
  <c r="P23" i="3"/>
  <c r="O23" i="3"/>
  <c r="N23" i="3"/>
  <c r="M23" i="3"/>
  <c r="J23" i="3"/>
  <c r="P22" i="3"/>
  <c r="O22" i="3"/>
  <c r="N22" i="3"/>
  <c r="M22" i="3"/>
  <c r="J22" i="3"/>
  <c r="P21" i="3"/>
  <c r="O21" i="3"/>
  <c r="N21" i="3"/>
  <c r="M21" i="3"/>
  <c r="J21" i="3"/>
  <c r="P20" i="3"/>
  <c r="O20" i="3"/>
  <c r="N20" i="3"/>
  <c r="M20" i="3"/>
  <c r="J20" i="3"/>
  <c r="I20" i="3"/>
  <c r="H20" i="3"/>
  <c r="G20" i="3"/>
  <c r="P19" i="3"/>
  <c r="O19" i="3"/>
  <c r="N19" i="3"/>
  <c r="M19" i="3"/>
  <c r="J19" i="3"/>
  <c r="P18" i="3"/>
  <c r="O18" i="3"/>
  <c r="N18" i="3"/>
  <c r="M18" i="3"/>
  <c r="J18" i="3"/>
  <c r="P17" i="3"/>
  <c r="O17" i="3"/>
  <c r="N17" i="3"/>
  <c r="M17" i="3"/>
  <c r="J17" i="3"/>
  <c r="P16" i="3"/>
  <c r="O16" i="3"/>
  <c r="N16" i="3"/>
  <c r="M16" i="3"/>
  <c r="J16" i="3"/>
  <c r="I16" i="3"/>
  <c r="H16" i="3"/>
  <c r="G16" i="3"/>
  <c r="P15" i="3"/>
  <c r="O15" i="3"/>
  <c r="N15" i="3"/>
  <c r="M15" i="3"/>
  <c r="J15" i="3"/>
  <c r="P14" i="3"/>
  <c r="O14" i="3"/>
  <c r="N14" i="3"/>
  <c r="M14" i="3"/>
  <c r="J14" i="3"/>
  <c r="P13" i="3"/>
  <c r="O13" i="3"/>
  <c r="N13" i="3"/>
  <c r="M13" i="3"/>
  <c r="J13" i="3"/>
  <c r="P12" i="3"/>
  <c r="O12" i="3"/>
  <c r="N12" i="3"/>
  <c r="M12" i="3"/>
  <c r="J12" i="3"/>
  <c r="I12" i="3"/>
  <c r="H12" i="3"/>
  <c r="G12" i="3"/>
  <c r="P11" i="3"/>
  <c r="O11" i="3"/>
  <c r="N11" i="3"/>
  <c r="M11" i="3"/>
  <c r="J11" i="3"/>
  <c r="P10" i="3"/>
  <c r="O10" i="3"/>
  <c r="N10" i="3"/>
  <c r="M10" i="3"/>
  <c r="J10" i="3"/>
  <c r="P9" i="3"/>
  <c r="O9" i="3"/>
  <c r="N9" i="3"/>
  <c r="M9" i="3"/>
  <c r="J9" i="3"/>
  <c r="P8" i="3"/>
  <c r="O8" i="3"/>
  <c r="N8" i="3"/>
  <c r="M8" i="3"/>
  <c r="J8" i="3"/>
  <c r="I8" i="3"/>
  <c r="H8" i="3"/>
  <c r="G8" i="3"/>
  <c r="P7" i="3"/>
  <c r="O7" i="3"/>
  <c r="N7" i="3"/>
  <c r="M7" i="3"/>
  <c r="J7" i="3"/>
  <c r="P6" i="3"/>
  <c r="O6" i="3"/>
  <c r="N6" i="3"/>
  <c r="M6" i="3"/>
  <c r="J6" i="3"/>
  <c r="P5" i="3"/>
  <c r="O5" i="3"/>
  <c r="N5" i="3"/>
  <c r="M5" i="3"/>
  <c r="J5" i="3"/>
  <c r="P4" i="3"/>
  <c r="P48" i="3" s="1"/>
  <c r="O4" i="3"/>
  <c r="O48" i="3" s="1"/>
  <c r="N4" i="3"/>
  <c r="N48" i="3" s="1"/>
  <c r="M4" i="3"/>
  <c r="M48" i="3" s="1"/>
  <c r="J4" i="3"/>
  <c r="I4" i="3"/>
  <c r="I48" i="3" s="1"/>
  <c r="H4" i="3"/>
  <c r="H48" i="3" s="1"/>
  <c r="G4" i="3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K129" i="2"/>
  <c r="J129" i="2"/>
  <c r="H129" i="2"/>
  <c r="F129" i="2"/>
  <c r="L128" i="2"/>
  <c r="K128" i="2"/>
  <c r="J128" i="2"/>
  <c r="H128" i="2"/>
  <c r="F128" i="2"/>
  <c r="L127" i="2"/>
  <c r="K127" i="2"/>
  <c r="J127" i="2"/>
  <c r="H127" i="2"/>
  <c r="F127" i="2"/>
  <c r="K126" i="2"/>
  <c r="J126" i="2"/>
  <c r="H126" i="2"/>
  <c r="F126" i="2"/>
  <c r="L126" i="2" s="1"/>
  <c r="L125" i="2"/>
  <c r="K125" i="2"/>
  <c r="J125" i="2"/>
  <c r="H125" i="2"/>
  <c r="F125" i="2"/>
  <c r="K124" i="2"/>
  <c r="J124" i="2"/>
  <c r="H124" i="2"/>
  <c r="F124" i="2"/>
  <c r="L124" i="2" s="1"/>
  <c r="K123" i="2"/>
  <c r="K122" i="2"/>
  <c r="K121" i="2"/>
  <c r="K120" i="2"/>
  <c r="K119" i="2"/>
  <c r="E119" i="2"/>
  <c r="K118" i="2"/>
  <c r="C118" i="2"/>
  <c r="K117" i="2"/>
  <c r="C117" i="2"/>
  <c r="J117" i="2" s="1"/>
  <c r="E113" i="2"/>
  <c r="K113" i="2" s="1"/>
  <c r="C113" i="2"/>
  <c r="K112" i="2"/>
  <c r="J112" i="2"/>
  <c r="H112" i="2"/>
  <c r="L112" i="2" s="1"/>
  <c r="F112" i="2"/>
  <c r="E112" i="2"/>
  <c r="C112" i="2"/>
  <c r="K111" i="2"/>
  <c r="J111" i="2"/>
  <c r="F111" i="2"/>
  <c r="L111" i="2" s="1"/>
  <c r="C111" i="2"/>
  <c r="H111" i="2" s="1"/>
  <c r="H110" i="2"/>
  <c r="F110" i="2"/>
  <c r="E110" i="2"/>
  <c r="K110" i="2" s="1"/>
  <c r="C110" i="2"/>
  <c r="K106" i="2"/>
  <c r="E106" i="2"/>
  <c r="C106" i="2"/>
  <c r="F106" i="2" s="1"/>
  <c r="E105" i="2"/>
  <c r="K105" i="2" s="1"/>
  <c r="C105" i="2"/>
  <c r="F105" i="2" s="1"/>
  <c r="K104" i="2"/>
  <c r="E104" i="2"/>
  <c r="C104" i="2"/>
  <c r="J104" i="2" s="1"/>
  <c r="K103" i="2"/>
  <c r="J103" i="2"/>
  <c r="H103" i="2"/>
  <c r="E103" i="2"/>
  <c r="F103" i="2" s="1"/>
  <c r="L103" i="2" s="1"/>
  <c r="C103" i="2"/>
  <c r="K102" i="2"/>
  <c r="E102" i="2"/>
  <c r="C102" i="2"/>
  <c r="E101" i="2"/>
  <c r="K101" i="2" s="1"/>
  <c r="C101" i="2"/>
  <c r="K100" i="2"/>
  <c r="G100" i="2"/>
  <c r="C100" i="2"/>
  <c r="J100" i="2" s="1"/>
  <c r="K99" i="2"/>
  <c r="J99" i="2"/>
  <c r="H99" i="2"/>
  <c r="L99" i="2" s="1"/>
  <c r="F99" i="2"/>
  <c r="E99" i="2"/>
  <c r="C99" i="2"/>
  <c r="C98" i="2"/>
  <c r="L95" i="2"/>
  <c r="K95" i="2"/>
  <c r="J95" i="2"/>
  <c r="H95" i="2"/>
  <c r="F95" i="2"/>
  <c r="K94" i="2"/>
  <c r="J94" i="2"/>
  <c r="H94" i="2"/>
  <c r="C94" i="2"/>
  <c r="E93" i="2"/>
  <c r="K93" i="2" s="1"/>
  <c r="K92" i="2"/>
  <c r="E92" i="2"/>
  <c r="K91" i="2"/>
  <c r="E91" i="2"/>
  <c r="K90" i="2"/>
  <c r="E90" i="2"/>
  <c r="E89" i="2"/>
  <c r="K89" i="2" s="1"/>
  <c r="K88" i="2"/>
  <c r="E88" i="2"/>
  <c r="K87" i="2"/>
  <c r="E87" i="2"/>
  <c r="K86" i="2"/>
  <c r="E86" i="2"/>
  <c r="E85" i="2"/>
  <c r="K85" i="2" s="1"/>
  <c r="K81" i="2"/>
  <c r="K80" i="2"/>
  <c r="K79" i="2"/>
  <c r="J76" i="2"/>
  <c r="H76" i="2"/>
  <c r="L75" i="2"/>
  <c r="K75" i="2"/>
  <c r="J75" i="2"/>
  <c r="H75" i="2"/>
  <c r="F75" i="2"/>
  <c r="K74" i="2"/>
  <c r="J74" i="2"/>
  <c r="H74" i="2"/>
  <c r="L74" i="2" s="1"/>
  <c r="F74" i="2"/>
  <c r="K73" i="2"/>
  <c r="J73" i="2"/>
  <c r="H73" i="2"/>
  <c r="F73" i="2"/>
  <c r="L73" i="2" s="1"/>
  <c r="K72" i="2"/>
  <c r="J72" i="2"/>
  <c r="H72" i="2"/>
  <c r="L72" i="2" s="1"/>
  <c r="F72" i="2"/>
  <c r="J71" i="2"/>
  <c r="H71" i="2"/>
  <c r="E71" i="2"/>
  <c r="K71" i="2" s="1"/>
  <c r="L70" i="2"/>
  <c r="K70" i="2"/>
  <c r="J70" i="2"/>
  <c r="H70" i="2"/>
  <c r="F70" i="2"/>
  <c r="L66" i="2"/>
  <c r="K66" i="2"/>
  <c r="J66" i="2"/>
  <c r="H66" i="2"/>
  <c r="F66" i="2"/>
  <c r="E66" i="2"/>
  <c r="K65" i="2"/>
  <c r="J65" i="2"/>
  <c r="L65" i="2" s="1"/>
  <c r="H65" i="2"/>
  <c r="F65" i="2"/>
  <c r="E65" i="2"/>
  <c r="K64" i="2"/>
  <c r="J64" i="2"/>
  <c r="H64" i="2"/>
  <c r="F64" i="2"/>
  <c r="L64" i="2" s="1"/>
  <c r="K63" i="2"/>
  <c r="J63" i="2"/>
  <c r="H63" i="2"/>
  <c r="L63" i="2" s="1"/>
  <c r="F63" i="2"/>
  <c r="E63" i="2"/>
  <c r="J62" i="2"/>
  <c r="H62" i="2"/>
  <c r="E62" i="2"/>
  <c r="F62" i="2" s="1"/>
  <c r="L62" i="2" s="1"/>
  <c r="K61" i="2"/>
  <c r="J61" i="2"/>
  <c r="H61" i="2"/>
  <c r="F61" i="2"/>
  <c r="L61" i="2" s="1"/>
  <c r="L60" i="2"/>
  <c r="K60" i="2"/>
  <c r="J60" i="2"/>
  <c r="H60" i="2"/>
  <c r="F60" i="2"/>
  <c r="K59" i="2"/>
  <c r="J59" i="2"/>
  <c r="H59" i="2"/>
  <c r="F59" i="2"/>
  <c r="L59" i="2" s="1"/>
  <c r="L58" i="2"/>
  <c r="K58" i="2"/>
  <c r="J58" i="2"/>
  <c r="H58" i="2"/>
  <c r="F58" i="2"/>
  <c r="K57" i="2"/>
  <c r="J57" i="2"/>
  <c r="H57" i="2"/>
  <c r="L57" i="2" s="1"/>
  <c r="F57" i="2"/>
  <c r="K56" i="2"/>
  <c r="J56" i="2"/>
  <c r="H56" i="2"/>
  <c r="F56" i="2"/>
  <c r="L56" i="2" s="1"/>
  <c r="K55" i="2"/>
  <c r="J55" i="2"/>
  <c r="H55" i="2"/>
  <c r="L55" i="2" s="1"/>
  <c r="F55" i="2"/>
  <c r="E55" i="2"/>
  <c r="J54" i="2"/>
  <c r="J67" i="2" s="1"/>
  <c r="H54" i="2"/>
  <c r="H67" i="2" s="1"/>
  <c r="E54" i="2"/>
  <c r="K54" i="2" s="1"/>
  <c r="L53" i="2"/>
  <c r="K53" i="2"/>
  <c r="J53" i="2"/>
  <c r="H53" i="2"/>
  <c r="F53" i="2"/>
  <c r="E49" i="2"/>
  <c r="K49" i="2" s="1"/>
  <c r="K48" i="2"/>
  <c r="G47" i="2"/>
  <c r="K47" i="2" s="1"/>
  <c r="E47" i="2"/>
  <c r="K46" i="2"/>
  <c r="K45" i="2"/>
  <c r="K44" i="2"/>
  <c r="E44" i="2"/>
  <c r="K43" i="2"/>
  <c r="K39" i="2"/>
  <c r="E38" i="2"/>
  <c r="K38" i="2" s="1"/>
  <c r="K37" i="2"/>
  <c r="G37" i="2"/>
  <c r="K36" i="2"/>
  <c r="G36" i="2"/>
  <c r="K35" i="2"/>
  <c r="E35" i="2"/>
  <c r="K34" i="2"/>
  <c r="K30" i="2"/>
  <c r="K29" i="2"/>
  <c r="G29" i="2"/>
  <c r="G28" i="2"/>
  <c r="K28" i="2" s="1"/>
  <c r="E27" i="2"/>
  <c r="K27" i="2" s="1"/>
  <c r="K26" i="2"/>
  <c r="K22" i="2"/>
  <c r="J22" i="2"/>
  <c r="H22" i="2"/>
  <c r="F22" i="2"/>
  <c r="L22" i="2" s="1"/>
  <c r="C22" i="2"/>
  <c r="K21" i="2"/>
  <c r="J21" i="2"/>
  <c r="H21" i="2"/>
  <c r="F21" i="2"/>
  <c r="L21" i="2" s="1"/>
  <c r="K20" i="2"/>
  <c r="J20" i="2"/>
  <c r="H20" i="2"/>
  <c r="L20" i="2" s="1"/>
  <c r="F20" i="2"/>
  <c r="K19" i="2"/>
  <c r="J19" i="2"/>
  <c r="H19" i="2"/>
  <c r="F19" i="2"/>
  <c r="K18" i="2"/>
  <c r="J18" i="2"/>
  <c r="H18" i="2"/>
  <c r="F18" i="2"/>
  <c r="C7" i="2"/>
  <c r="B8" i="1"/>
  <c r="C26" i="2" l="1"/>
  <c r="J26" i="2" s="1"/>
  <c r="O29" i="8"/>
  <c r="Q29" i="8"/>
  <c r="I8" i="6"/>
  <c r="H8" i="6"/>
  <c r="I7" i="6"/>
  <c r="H7" i="6"/>
  <c r="I6" i="6"/>
  <c r="I10" i="6" s="1"/>
  <c r="I9" i="6"/>
  <c r="H5" i="6"/>
  <c r="G10" i="6"/>
  <c r="F10" i="6"/>
  <c r="H6" i="6"/>
  <c r="H9" i="6"/>
  <c r="N249" i="5"/>
  <c r="J274" i="5"/>
  <c r="M365" i="5"/>
  <c r="J318" i="5"/>
  <c r="N365" i="5"/>
  <c r="J363" i="5"/>
  <c r="J365" i="5" s="1"/>
  <c r="H433" i="5"/>
  <c r="G440" i="5"/>
  <c r="J159" i="5"/>
  <c r="J161" i="5" s="1"/>
  <c r="M159" i="5"/>
  <c r="M161" i="5" s="1"/>
  <c r="G249" i="5"/>
  <c r="H219" i="5"/>
  <c r="H221" i="5" s="1"/>
  <c r="I221" i="5"/>
  <c r="G161" i="5"/>
  <c r="H185" i="5"/>
  <c r="H187" i="5" s="1"/>
  <c r="I187" i="5"/>
  <c r="G213" i="5"/>
  <c r="G363" i="5"/>
  <c r="I358" i="5"/>
  <c r="N159" i="5"/>
  <c r="N161" i="5" s="1"/>
  <c r="G230" i="5"/>
  <c r="I225" i="5"/>
  <c r="K318" i="5"/>
  <c r="G327" i="5"/>
  <c r="G341" i="5"/>
  <c r="I336" i="5"/>
  <c r="K438" i="5"/>
  <c r="K440" i="5" s="1"/>
  <c r="I447" i="5"/>
  <c r="J449" i="5"/>
  <c r="J458" i="5" s="1"/>
  <c r="H258" i="5"/>
  <c r="H260" i="5" s="1"/>
  <c r="G403" i="5"/>
  <c r="I398" i="5"/>
  <c r="M421" i="5"/>
  <c r="M437" i="5"/>
  <c r="M438" i="5" s="1"/>
  <c r="I191" i="5"/>
  <c r="K274" i="5"/>
  <c r="G282" i="5"/>
  <c r="G296" i="5" s="1"/>
  <c r="I291" i="5"/>
  <c r="I327" i="5"/>
  <c r="J386" i="5"/>
  <c r="J421" i="5"/>
  <c r="G386" i="5"/>
  <c r="M212" i="5"/>
  <c r="M213" i="5" s="1"/>
  <c r="I427" i="5"/>
  <c r="J429" i="5"/>
  <c r="I381" i="5"/>
  <c r="H168" i="5"/>
  <c r="H170" i="5" s="1"/>
  <c r="H179" i="5" s="1"/>
  <c r="I170" i="5"/>
  <c r="I179" i="5" s="1"/>
  <c r="M178" i="5"/>
  <c r="M179" i="5" s="1"/>
  <c r="M249" i="5" s="1"/>
  <c r="J150" i="5"/>
  <c r="G260" i="5"/>
  <c r="G274" i="5"/>
  <c r="I269" i="5"/>
  <c r="J196" i="5"/>
  <c r="K363" i="5"/>
  <c r="I394" i="5"/>
  <c r="J213" i="5"/>
  <c r="J249" i="5" s="1"/>
  <c r="M385" i="5"/>
  <c r="M386" i="5" s="1"/>
  <c r="I375" i="5"/>
  <c r="N440" i="5"/>
  <c r="I202" i="5"/>
  <c r="M158" i="5"/>
  <c r="I208" i="5"/>
  <c r="G318" i="5"/>
  <c r="I313" i="5"/>
  <c r="H148" i="5"/>
  <c r="H150" i="5" s="1"/>
  <c r="H159" i="5" s="1"/>
  <c r="H161" i="5" s="1"/>
  <c r="I150" i="5"/>
  <c r="I159" i="5" s="1"/>
  <c r="I161" i="5" s="1"/>
  <c r="M457" i="5"/>
  <c r="M458" i="5" s="1"/>
  <c r="I453" i="5"/>
  <c r="K196" i="5"/>
  <c r="K249" i="5" s="1"/>
  <c r="J438" i="5"/>
  <c r="J440" i="5" s="1"/>
  <c r="I175" i="3"/>
  <c r="P258" i="3"/>
  <c r="O258" i="3"/>
  <c r="O263" i="3" s="1"/>
  <c r="O282" i="3" s="1"/>
  <c r="H212" i="3"/>
  <c r="I419" i="3"/>
  <c r="I473" i="3" s="1"/>
  <c r="P170" i="3"/>
  <c r="O170" i="3"/>
  <c r="O175" i="3" s="1"/>
  <c r="K282" i="3"/>
  <c r="P187" i="3"/>
  <c r="O187" i="3"/>
  <c r="O192" i="3" s="1"/>
  <c r="O194" i="3" s="1"/>
  <c r="P207" i="3"/>
  <c r="O207" i="3"/>
  <c r="O212" i="3" s="1"/>
  <c r="I436" i="3"/>
  <c r="J473" i="3"/>
  <c r="O419" i="3"/>
  <c r="K471" i="3"/>
  <c r="K473" i="3" s="1"/>
  <c r="O307" i="3"/>
  <c r="M396" i="3"/>
  <c r="M398" i="3" s="1"/>
  <c r="O396" i="3"/>
  <c r="O473" i="3"/>
  <c r="K491" i="3"/>
  <c r="J175" i="3"/>
  <c r="J194" i="3"/>
  <c r="H263" i="3"/>
  <c r="M374" i="3"/>
  <c r="J212" i="3"/>
  <c r="I246" i="3"/>
  <c r="M307" i="3"/>
  <c r="O374" i="3"/>
  <c r="I280" i="3"/>
  <c r="O351" i="3"/>
  <c r="J491" i="3"/>
  <c r="P241" i="3"/>
  <c r="O241" i="3"/>
  <c r="O246" i="3" s="1"/>
  <c r="H183" i="3"/>
  <c r="H192" i="3" s="1"/>
  <c r="H194" i="3" s="1"/>
  <c r="I201" i="3"/>
  <c r="I203" i="3" s="1"/>
  <c r="H271" i="3"/>
  <c r="H280" i="3" s="1"/>
  <c r="H282" i="3" s="1"/>
  <c r="H351" i="3"/>
  <c r="H398" i="3" s="1"/>
  <c r="I324" i="3"/>
  <c r="I329" i="3" s="1"/>
  <c r="M170" i="3"/>
  <c r="M175" i="3" s="1"/>
  <c r="I187" i="3"/>
  <c r="I192" i="3" s="1"/>
  <c r="I194" i="3" s="1"/>
  <c r="J246" i="3"/>
  <c r="J282" i="3" s="1"/>
  <c r="M258" i="3"/>
  <c r="M263" i="3" s="1"/>
  <c r="M282" i="3" s="1"/>
  <c r="J396" i="3"/>
  <c r="J398" i="3" s="1"/>
  <c r="H471" i="3"/>
  <c r="H473" i="3" s="1"/>
  <c r="M207" i="3"/>
  <c r="M212" i="3" s="1"/>
  <c r="H307" i="3"/>
  <c r="M241" i="3"/>
  <c r="M246" i="3" s="1"/>
  <c r="I207" i="3"/>
  <c r="I212" i="3" s="1"/>
  <c r="M187" i="3"/>
  <c r="M192" i="3" s="1"/>
  <c r="I164" i="3"/>
  <c r="I166" i="3" s="1"/>
  <c r="I252" i="3"/>
  <c r="I254" i="3" s="1"/>
  <c r="I263" i="3" s="1"/>
  <c r="C36" i="2"/>
  <c r="C37" i="2"/>
  <c r="C81" i="2"/>
  <c r="L110" i="2"/>
  <c r="F29" i="2"/>
  <c r="J110" i="2"/>
  <c r="H106" i="2"/>
  <c r="L106" i="2" s="1"/>
  <c r="F54" i="2"/>
  <c r="F23" i="2"/>
  <c r="C119" i="2"/>
  <c r="F118" i="2"/>
  <c r="L118" i="2" s="1"/>
  <c r="J113" i="2"/>
  <c r="H113" i="2"/>
  <c r="H114" i="2" s="1"/>
  <c r="F113" i="2"/>
  <c r="L113" i="2" s="1"/>
  <c r="H118" i="2"/>
  <c r="C27" i="2"/>
  <c r="C78" i="2"/>
  <c r="C28" i="2"/>
  <c r="C42" i="2"/>
  <c r="F102" i="2"/>
  <c r="L102" i="2" s="1"/>
  <c r="J106" i="2"/>
  <c r="L129" i="2"/>
  <c r="J29" i="2"/>
  <c r="H29" i="2"/>
  <c r="J105" i="2"/>
  <c r="H105" i="2"/>
  <c r="L105" i="2" s="1"/>
  <c r="H23" i="2"/>
  <c r="H107" i="2"/>
  <c r="J118" i="2"/>
  <c r="L19" i="2"/>
  <c r="C38" i="2"/>
  <c r="K62" i="2"/>
  <c r="H102" i="2"/>
  <c r="C34" i="2"/>
  <c r="J101" i="2"/>
  <c r="J107" i="2" s="1"/>
  <c r="H101" i="2"/>
  <c r="C84" i="2"/>
  <c r="J23" i="2"/>
  <c r="C35" i="2"/>
  <c r="F101" i="2"/>
  <c r="F71" i="2"/>
  <c r="F94" i="2"/>
  <c r="L94" i="2" s="1"/>
  <c r="J102" i="2"/>
  <c r="F189" i="2"/>
  <c r="L18" i="2"/>
  <c r="L23" i="2" s="1"/>
  <c r="F100" i="2"/>
  <c r="L100" i="2" s="1"/>
  <c r="F117" i="2"/>
  <c r="F104" i="2"/>
  <c r="L104" i="2" s="1"/>
  <c r="H117" i="2"/>
  <c r="H100" i="2"/>
  <c r="H104" i="2"/>
  <c r="C30" i="2" l="1"/>
  <c r="J30" i="2" s="1"/>
  <c r="H26" i="2"/>
  <c r="F26" i="2"/>
  <c r="H10" i="6"/>
  <c r="M440" i="5"/>
  <c r="I341" i="5"/>
  <c r="H336" i="5"/>
  <c r="H341" i="5" s="1"/>
  <c r="H375" i="5"/>
  <c r="H377" i="5" s="1"/>
  <c r="I377" i="5"/>
  <c r="H453" i="5"/>
  <c r="I386" i="5"/>
  <c r="H381" i="5"/>
  <c r="H386" i="5" s="1"/>
  <c r="I196" i="5"/>
  <c r="H191" i="5"/>
  <c r="H196" i="5" s="1"/>
  <c r="H427" i="5"/>
  <c r="H429" i="5" s="1"/>
  <c r="H438" i="5" s="1"/>
  <c r="H440" i="5" s="1"/>
  <c r="I429" i="5"/>
  <c r="I438" i="5" s="1"/>
  <c r="I440" i="5" s="1"/>
  <c r="H225" i="5"/>
  <c r="H230" i="5" s="1"/>
  <c r="H249" i="5" s="1"/>
  <c r="I230" i="5"/>
  <c r="I249" i="5" s="1"/>
  <c r="K365" i="5"/>
  <c r="H313" i="5"/>
  <c r="H318" i="5" s="1"/>
  <c r="I318" i="5"/>
  <c r="H398" i="5"/>
  <c r="H403" i="5" s="1"/>
  <c r="I403" i="5"/>
  <c r="H269" i="5"/>
  <c r="H274" i="5" s="1"/>
  <c r="I274" i="5"/>
  <c r="I213" i="5"/>
  <c r="H208" i="5"/>
  <c r="H213" i="5" s="1"/>
  <c r="H358" i="5"/>
  <c r="H363" i="5" s="1"/>
  <c r="I363" i="5"/>
  <c r="I365" i="5" s="1"/>
  <c r="G365" i="5"/>
  <c r="H291" i="5"/>
  <c r="H296" i="5" s="1"/>
  <c r="I296" i="5"/>
  <c r="H447" i="5"/>
  <c r="H449" i="5" s="1"/>
  <c r="I449" i="5"/>
  <c r="I458" i="5" s="1"/>
  <c r="H202" i="5"/>
  <c r="H204" i="5" s="1"/>
  <c r="I204" i="5"/>
  <c r="L29" i="2"/>
  <c r="O398" i="3"/>
  <c r="I282" i="3"/>
  <c r="M194" i="3"/>
  <c r="J38" i="2"/>
  <c r="H38" i="2"/>
  <c r="F38" i="2"/>
  <c r="L54" i="2"/>
  <c r="L67" i="2" s="1"/>
  <c r="F67" i="2"/>
  <c r="C79" i="2"/>
  <c r="C80" i="2"/>
  <c r="J34" i="2"/>
  <c r="H34" i="2"/>
  <c r="C39" i="2"/>
  <c r="F34" i="2"/>
  <c r="H119" i="2"/>
  <c r="J119" i="2"/>
  <c r="F119" i="2"/>
  <c r="L119" i="2" s="1"/>
  <c r="J114" i="2"/>
  <c r="J81" i="2"/>
  <c r="H81" i="2"/>
  <c r="F81" i="2"/>
  <c r="F27" i="2"/>
  <c r="J27" i="2"/>
  <c r="H27" i="2"/>
  <c r="L101" i="2"/>
  <c r="L107" i="2" s="1"/>
  <c r="J37" i="2"/>
  <c r="H37" i="2"/>
  <c r="F37" i="2"/>
  <c r="L71" i="2"/>
  <c r="L76" i="2" s="1"/>
  <c r="F76" i="2"/>
  <c r="L117" i="2"/>
  <c r="C87" i="2"/>
  <c r="C88" i="2"/>
  <c r="C85" i="2"/>
  <c r="C86" i="2"/>
  <c r="C89" i="2"/>
  <c r="C47" i="2"/>
  <c r="C44" i="2"/>
  <c r="C48" i="2"/>
  <c r="C45" i="2"/>
  <c r="C49" i="2"/>
  <c r="C46" i="2"/>
  <c r="C43" i="2"/>
  <c r="H28" i="2"/>
  <c r="F28" i="2"/>
  <c r="J28" i="2"/>
  <c r="F107" i="2"/>
  <c r="F114" i="2"/>
  <c r="L114" i="2"/>
  <c r="F35" i="2"/>
  <c r="J35" i="2"/>
  <c r="H35" i="2"/>
  <c r="F36" i="2"/>
  <c r="J36" i="2"/>
  <c r="H36" i="2"/>
  <c r="H30" i="2" l="1"/>
  <c r="H31" i="2" s="1"/>
  <c r="L26" i="2"/>
  <c r="F30" i="2"/>
  <c r="L38" i="2"/>
  <c r="H365" i="5"/>
  <c r="H458" i="5"/>
  <c r="H48" i="2"/>
  <c r="F48" i="2"/>
  <c r="J48" i="2"/>
  <c r="J80" i="2"/>
  <c r="H80" i="2"/>
  <c r="F80" i="2"/>
  <c r="H44" i="2"/>
  <c r="J44" i="2"/>
  <c r="F44" i="2"/>
  <c r="L37" i="2"/>
  <c r="H79" i="2"/>
  <c r="F79" i="2"/>
  <c r="J79" i="2"/>
  <c r="J85" i="2"/>
  <c r="H85" i="2"/>
  <c r="F85" i="2"/>
  <c r="L28" i="2"/>
  <c r="J88" i="2"/>
  <c r="H88" i="2"/>
  <c r="F88" i="2"/>
  <c r="L27" i="2"/>
  <c r="J43" i="2"/>
  <c r="H43" i="2"/>
  <c r="F43" i="2"/>
  <c r="F39" i="2"/>
  <c r="F40" i="2" s="1"/>
  <c r="J39" i="2"/>
  <c r="J40" i="2" s="1"/>
  <c r="H39" i="2"/>
  <c r="H40" i="2" s="1"/>
  <c r="J46" i="2"/>
  <c r="H46" i="2"/>
  <c r="F46" i="2"/>
  <c r="F47" i="2"/>
  <c r="J47" i="2"/>
  <c r="H47" i="2"/>
  <c r="J89" i="2"/>
  <c r="H89" i="2"/>
  <c r="F89" i="2"/>
  <c r="C120" i="2"/>
  <c r="C92" i="2"/>
  <c r="F86" i="2"/>
  <c r="C93" i="2"/>
  <c r="J86" i="2"/>
  <c r="H86" i="2"/>
  <c r="J31" i="2"/>
  <c r="F87" i="2"/>
  <c r="J87" i="2"/>
  <c r="C90" i="2"/>
  <c r="H87" i="2"/>
  <c r="L34" i="2"/>
  <c r="L36" i="2"/>
  <c r="J49" i="2"/>
  <c r="H49" i="2"/>
  <c r="F49" i="2"/>
  <c r="L81" i="2"/>
  <c r="L35" i="2"/>
  <c r="J45" i="2"/>
  <c r="H45" i="2"/>
  <c r="F45" i="2"/>
  <c r="L30" i="2" l="1"/>
  <c r="L31" i="2" s="1"/>
  <c r="L46" i="2"/>
  <c r="L89" i="2"/>
  <c r="L80" i="2"/>
  <c r="F31" i="2"/>
  <c r="L88" i="2"/>
  <c r="L86" i="2"/>
  <c r="L44" i="2"/>
  <c r="L49" i="2"/>
  <c r="J82" i="2"/>
  <c r="J50" i="2"/>
  <c r="L45" i="2"/>
  <c r="C122" i="2"/>
  <c r="J120" i="2"/>
  <c r="H120" i="2"/>
  <c r="F120" i="2"/>
  <c r="C123" i="2"/>
  <c r="C121" i="2"/>
  <c r="C91" i="2"/>
  <c r="H90" i="2"/>
  <c r="J90" i="2"/>
  <c r="F90" i="2"/>
  <c r="L43" i="2"/>
  <c r="F50" i="2"/>
  <c r="H82" i="2"/>
  <c r="L47" i="2"/>
  <c r="J93" i="2"/>
  <c r="H93" i="2"/>
  <c r="F93" i="2"/>
  <c r="H50" i="2"/>
  <c r="J92" i="2"/>
  <c r="H92" i="2"/>
  <c r="F92" i="2"/>
  <c r="F82" i="2"/>
  <c r="L79" i="2"/>
  <c r="L48" i="2"/>
  <c r="L87" i="2"/>
  <c r="L39" i="2"/>
  <c r="L40" i="2" s="1"/>
  <c r="L85" i="2"/>
  <c r="L82" i="2" l="1"/>
  <c r="L90" i="2"/>
  <c r="L93" i="2"/>
  <c r="J121" i="2"/>
  <c r="H121" i="2"/>
  <c r="F121" i="2"/>
  <c r="L120" i="2"/>
  <c r="L92" i="2"/>
  <c r="F91" i="2"/>
  <c r="F96" i="2" s="1"/>
  <c r="J91" i="2"/>
  <c r="J96" i="2" s="1"/>
  <c r="H91" i="2"/>
  <c r="H96" i="2" s="1"/>
  <c r="J123" i="2"/>
  <c r="H123" i="2"/>
  <c r="F123" i="2"/>
  <c r="L50" i="2"/>
  <c r="H122" i="2"/>
  <c r="J122" i="2"/>
  <c r="F122" i="2"/>
  <c r="L123" i="2" l="1"/>
  <c r="H130" i="2"/>
  <c r="H133" i="2" s="1"/>
  <c r="H144" i="2" s="1"/>
  <c r="L121" i="2"/>
  <c r="F130" i="2"/>
  <c r="F133" i="2" s="1"/>
  <c r="F144" i="2" s="1"/>
  <c r="J130" i="2"/>
  <c r="J133" i="2" s="1"/>
  <c r="J144" i="2" s="1"/>
  <c r="L122" i="2"/>
  <c r="L91" i="2"/>
  <c r="L96" i="2" s="1"/>
  <c r="L130" i="2" l="1"/>
  <c r="L134" i="2"/>
  <c r="L145" i="2"/>
  <c r="L146" i="2" l="1"/>
  <c r="L147" i="2" s="1"/>
  <c r="L138" i="2"/>
  <c r="L135" i="2"/>
  <c r="L136" i="2" s="1"/>
  <c r="I138" i="2" l="1"/>
  <c r="L139" i="2"/>
  <c r="L141" i="2"/>
  <c r="L140" i="2"/>
  <c r="M80" i="2" l="1"/>
  <c r="N80" i="2" s="1"/>
  <c r="M73" i="2"/>
  <c r="N73" i="2" s="1"/>
  <c r="M56" i="2"/>
  <c r="N56" i="2" s="1"/>
  <c r="M21" i="2"/>
  <c r="N21" i="2" s="1"/>
  <c r="M126" i="2"/>
  <c r="N126" i="2" s="1"/>
  <c r="M61" i="2"/>
  <c r="N61" i="2" s="1"/>
  <c r="M34" i="2"/>
  <c r="N34" i="2" s="1"/>
  <c r="M121" i="2"/>
  <c r="N121" i="2" s="1"/>
  <c r="M64" i="2"/>
  <c r="N64" i="2" s="1"/>
  <c r="M46" i="2"/>
  <c r="N46" i="2" s="1"/>
  <c r="M26" i="2"/>
  <c r="N26" i="2" s="1"/>
  <c r="M19" i="2"/>
  <c r="N19" i="2" s="1"/>
  <c r="M53" i="2"/>
  <c r="N53" i="2" s="1"/>
  <c r="M128" i="2"/>
  <c r="N128" i="2" s="1"/>
  <c r="M79" i="2"/>
  <c r="N79" i="2" s="1"/>
  <c r="M125" i="2"/>
  <c r="N125" i="2" s="1"/>
  <c r="M119" i="2"/>
  <c r="N119" i="2" s="1"/>
  <c r="M91" i="2"/>
  <c r="N91" i="2" s="1"/>
  <c r="M48" i="2"/>
  <c r="N48" i="2" s="1"/>
  <c r="M29" i="2"/>
  <c r="N29" i="2" s="1"/>
  <c r="M117" i="2"/>
  <c r="N117" i="2" s="1"/>
  <c r="M127" i="2"/>
  <c r="N127" i="2" s="1"/>
  <c r="M60" i="2"/>
  <c r="N60" i="2" s="1"/>
  <c r="M28" i="2"/>
  <c r="N28" i="2" s="1"/>
  <c r="M122" i="2"/>
  <c r="N122" i="2" s="1"/>
  <c r="M20" i="2"/>
  <c r="N20" i="2" s="1"/>
  <c r="M47" i="2"/>
  <c r="N47" i="2" s="1"/>
  <c r="M102" i="2"/>
  <c r="N102" i="2" s="1"/>
  <c r="M124" i="2"/>
  <c r="N124" i="2" s="1"/>
  <c r="M22" i="2"/>
  <c r="N22" i="2" s="1"/>
  <c r="M75" i="2"/>
  <c r="N75" i="2" s="1"/>
  <c r="M55" i="2"/>
  <c r="N55" i="2" s="1"/>
  <c r="M129" i="2"/>
  <c r="N129" i="2" s="1"/>
  <c r="M57" i="2"/>
  <c r="N57" i="2" s="1"/>
  <c r="M104" i="2"/>
  <c r="N104" i="2" s="1"/>
  <c r="M86" i="2"/>
  <c r="N86" i="2" s="1"/>
  <c r="M111" i="2"/>
  <c r="N111" i="2" s="1"/>
  <c r="M30" i="2"/>
  <c r="N30" i="2" s="1"/>
  <c r="M72" i="2"/>
  <c r="N72" i="2" s="1"/>
  <c r="M45" i="2"/>
  <c r="N45" i="2" s="1"/>
  <c r="M120" i="2"/>
  <c r="N120" i="2" s="1"/>
  <c r="M35" i="2"/>
  <c r="N35" i="2" s="1"/>
  <c r="M93" i="2"/>
  <c r="N93" i="2" s="1"/>
  <c r="M66" i="2"/>
  <c r="N66" i="2" s="1"/>
  <c r="M43" i="2"/>
  <c r="N43" i="2" s="1"/>
  <c r="M110" i="2"/>
  <c r="N110" i="2" s="1"/>
  <c r="M36" i="2"/>
  <c r="N36" i="2" s="1"/>
  <c r="M87" i="2"/>
  <c r="N87" i="2" s="1"/>
  <c r="M89" i="2"/>
  <c r="N89" i="2" s="1"/>
  <c r="M95" i="2"/>
  <c r="N95" i="2" s="1"/>
  <c r="M37" i="2"/>
  <c r="N37" i="2" s="1"/>
  <c r="M88" i="2"/>
  <c r="N88" i="2" s="1"/>
  <c r="M81" i="2"/>
  <c r="N81" i="2" s="1"/>
  <c r="M59" i="2"/>
  <c r="N59" i="2" s="1"/>
  <c r="M99" i="2"/>
  <c r="N99" i="2" s="1"/>
  <c r="M106" i="2"/>
  <c r="N106" i="2" s="1"/>
  <c r="M65" i="2"/>
  <c r="N65" i="2" s="1"/>
  <c r="M113" i="2"/>
  <c r="N113" i="2" s="1"/>
  <c r="M49" i="2"/>
  <c r="N49" i="2" s="1"/>
  <c r="M118" i="2"/>
  <c r="N118" i="2" s="1"/>
  <c r="M101" i="2"/>
  <c r="N101" i="2" s="1"/>
  <c r="M105" i="2"/>
  <c r="N105" i="2" s="1"/>
  <c r="M90" i="2"/>
  <c r="N90" i="2" s="1"/>
  <c r="M58" i="2"/>
  <c r="N58" i="2" s="1"/>
  <c r="M38" i="2"/>
  <c r="N38" i="2" s="1"/>
  <c r="M74" i="2"/>
  <c r="N74" i="2" s="1"/>
  <c r="M44" i="2"/>
  <c r="N44" i="2" s="1"/>
  <c r="M71" i="2"/>
  <c r="N71" i="2" s="1"/>
  <c r="M27" i="2"/>
  <c r="N27" i="2" s="1"/>
  <c r="M18" i="2"/>
  <c r="N18" i="2" s="1"/>
  <c r="M85" i="2"/>
  <c r="N85" i="2" s="1"/>
  <c r="M94" i="2"/>
  <c r="N94" i="2" s="1"/>
  <c r="M70" i="2"/>
  <c r="N70" i="2" s="1"/>
  <c r="M63" i="2"/>
  <c r="N63" i="2" s="1"/>
  <c r="M39" i="2"/>
  <c r="N39" i="2" s="1"/>
  <c r="M123" i="2"/>
  <c r="N123" i="2" s="1"/>
  <c r="M103" i="2"/>
  <c r="N103" i="2" s="1"/>
  <c r="M92" i="2"/>
  <c r="N92" i="2" s="1"/>
  <c r="M112" i="2"/>
  <c r="N112" i="2" s="1"/>
  <c r="M100" i="2"/>
  <c r="N100" i="2" s="1"/>
  <c r="M54" i="2"/>
  <c r="N54" i="2" s="1"/>
  <c r="M62" i="2"/>
  <c r="N62" i="2" s="1"/>
  <c r="N31" i="2" l="1"/>
  <c r="N76" i="2"/>
  <c r="N96" i="2"/>
  <c r="N23" i="2"/>
  <c r="N114" i="2"/>
  <c r="N50" i="2"/>
  <c r="N130" i="2"/>
  <c r="N40" i="2"/>
  <c r="N107" i="2"/>
  <c r="N82" i="2"/>
  <c r="N67" i="2"/>
  <c r="N134" i="2" l="1"/>
  <c r="N135" i="2" s="1"/>
  <c r="N136" i="2" s="1"/>
  <c r="C13" i="2" s="1"/>
</calcChain>
</file>

<file path=xl/sharedStrings.xml><?xml version="1.0" encoding="utf-8"?>
<sst xmlns="http://schemas.openxmlformats.org/spreadsheetml/2006/main" count="4236" uniqueCount="299">
  <si>
    <t>Terreno</t>
  </si>
  <si>
    <t xml:space="preserve">Largo = </t>
  </si>
  <si>
    <t>m</t>
  </si>
  <si>
    <t>Ancho =</t>
  </si>
  <si>
    <t xml:space="preserve">Area = </t>
  </si>
  <si>
    <t>m2</t>
  </si>
  <si>
    <t>Drawing Area</t>
  </si>
  <si>
    <t xml:space="preserve">CenterX = </t>
  </si>
  <si>
    <t>px</t>
  </si>
  <si>
    <t xml:space="preserve">CenterY = </t>
  </si>
  <si>
    <t xml:space="preserve">Top = </t>
  </si>
  <si>
    <t xml:space="preserve">Bottton = </t>
  </si>
  <si>
    <t xml:space="preserve">Left = </t>
  </si>
  <si>
    <t xml:space="preserve">Right = </t>
  </si>
  <si>
    <t xml:space="preserve">Height = </t>
  </si>
  <si>
    <t>Width =</t>
  </si>
  <si>
    <t>Locales</t>
  </si>
  <si>
    <t xml:space="preserve">Ancho = </t>
  </si>
  <si>
    <t>Largo</t>
  </si>
  <si>
    <t xml:space="preserve">x1 = </t>
  </si>
  <si>
    <t xml:space="preserve">y1 = </t>
  </si>
  <si>
    <t xml:space="preserve">Zapatas = </t>
  </si>
  <si>
    <t xml:space="preserve">Pedestales = </t>
  </si>
  <si>
    <t xml:space="preserve">Columnas = </t>
  </si>
  <si>
    <t>unid</t>
  </si>
  <si>
    <t>Area de terreno</t>
  </si>
  <si>
    <t>Largo de terreno</t>
  </si>
  <si>
    <t>ml</t>
  </si>
  <si>
    <t>Cada 1000 m2 son:</t>
  </si>
  <si>
    <t>Ancho de terreno</t>
  </si>
  <si>
    <t>zapatas 28 unidades</t>
  </si>
  <si>
    <t>Numer de zapatas por 1,000 m2</t>
  </si>
  <si>
    <t>metros linealesde vigas  por 1,000 m2</t>
  </si>
  <si>
    <t>vigas sismicas 250 ml</t>
  </si>
  <si>
    <t>Costo por metro cuadrado</t>
  </si>
  <si>
    <t>$/m2</t>
  </si>
  <si>
    <t>N°</t>
  </si>
  <si>
    <t xml:space="preserve">DESCRIPCIÓN </t>
  </si>
  <si>
    <t>CANTIDAD</t>
  </si>
  <si>
    <t>UNIDAD</t>
  </si>
  <si>
    <t>MANO DE OBRA</t>
  </si>
  <si>
    <t xml:space="preserve">MATERIAL </t>
  </si>
  <si>
    <t>EQUIPOS</t>
  </si>
  <si>
    <t>COSTO DIRECTO</t>
  </si>
  <si>
    <t>COSTO DIRECTO + COSTO INDIRECTO</t>
  </si>
  <si>
    <t>PRECIO UNITARIO</t>
  </si>
  <si>
    <t>TOTAL CON                                              PRESTACIONES 80%</t>
  </si>
  <si>
    <t>TOTAL</t>
  </si>
  <si>
    <t>DISEÑO Y ESTUDIOS</t>
  </si>
  <si>
    <t>Diseño de planos arq, estr, elect</t>
  </si>
  <si>
    <t>global</t>
  </si>
  <si>
    <t>Estudios de suelos</t>
  </si>
  <si>
    <t>Estudio de impacto ambiental</t>
  </si>
  <si>
    <t>Topografia de terreno</t>
  </si>
  <si>
    <t>Cerca del terreno</t>
  </si>
  <si>
    <t>TOTAL:</t>
  </si>
  <si>
    <t>ZAPATAS</t>
  </si>
  <si>
    <t>unidades</t>
  </si>
  <si>
    <t xml:space="preserve">Excavacion </t>
  </si>
  <si>
    <t>m3</t>
  </si>
  <si>
    <t>Formaleta</t>
  </si>
  <si>
    <t>Acero #5</t>
  </si>
  <si>
    <t>lb</t>
  </si>
  <si>
    <t>Concreto 4,000 psi</t>
  </si>
  <si>
    <t>Relleno</t>
  </si>
  <si>
    <t>VIGAS SISMICAS</t>
  </si>
  <si>
    <t>Acero #3</t>
  </si>
  <si>
    <t>Acero #6</t>
  </si>
  <si>
    <t>PEDESTALES</t>
  </si>
  <si>
    <t>CONCRETO 280 KG/CM2 - 4000 psi</t>
  </si>
  <si>
    <t>FORMALETA</t>
  </si>
  <si>
    <t>ACERO</t>
  </si>
  <si>
    <t>PERNOS DE 7/8" X 20" TUERCA Y ARANDELA</t>
  </si>
  <si>
    <t>PLATOS DE 7/8"</t>
  </si>
  <si>
    <t>HUECOS EN LOS PLATOS</t>
  </si>
  <si>
    <t>NIVELAR CON MORTERO DE CERO CONTRACION</t>
  </si>
  <si>
    <t xml:space="preserve">MUROS PERIMETRO </t>
  </si>
  <si>
    <t>Bloque de 6"</t>
  </si>
  <si>
    <t>Acero #4</t>
  </si>
  <si>
    <t>Acero #7</t>
  </si>
  <si>
    <t>Water stop</t>
  </si>
  <si>
    <t>Geodren</t>
  </si>
  <si>
    <t>Tubo pvc perforado</t>
  </si>
  <si>
    <t>Piedra #4</t>
  </si>
  <si>
    <t>Canal pluvial de concreto</t>
  </si>
  <si>
    <t xml:space="preserve">TANQUE DE AGUA </t>
  </si>
  <si>
    <t>COLUMNAS Y VIGAS DE ACERO</t>
  </si>
  <si>
    <t>Columnas WF8x31</t>
  </si>
  <si>
    <t>Conexiones</t>
  </si>
  <si>
    <t xml:space="preserve">unid </t>
  </si>
  <si>
    <t>Vigas 12x26</t>
  </si>
  <si>
    <t>ALBAÑILERIA</t>
  </si>
  <si>
    <t xml:space="preserve">Replanteo </t>
  </si>
  <si>
    <t>Bloque de 4"</t>
  </si>
  <si>
    <t>Viga de amarre 0.10</t>
  </si>
  <si>
    <t>Columna de amarre de 0.10</t>
  </si>
  <si>
    <t>Viga de amarre 0.15</t>
  </si>
  <si>
    <t>Columna de amarre de 0.15</t>
  </si>
  <si>
    <t>Repello interior</t>
  </si>
  <si>
    <t>Repello exterior</t>
  </si>
  <si>
    <t>Vidrio</t>
  </si>
  <si>
    <t>Puertas de vidrio + accesorios</t>
  </si>
  <si>
    <t>unidad</t>
  </si>
  <si>
    <t>PAVIMENTO</t>
  </si>
  <si>
    <t>excavacion</t>
  </si>
  <si>
    <t>CONCRETO 3000 LBS/PULG2</t>
  </si>
  <si>
    <t>Malla electrosoldada</t>
  </si>
  <si>
    <t>COMPACTAR TERRACERIA</t>
  </si>
  <si>
    <t>CAPA BASE</t>
  </si>
  <si>
    <t>MATERIAL SELECTO</t>
  </si>
  <si>
    <t>Cordones</t>
  </si>
  <si>
    <t>Poliuretano 6 mmills</t>
  </si>
  <si>
    <t>TECHO. CUBIERTAS</t>
  </si>
  <si>
    <t>AREA DE PANEL SANDWICH</t>
  </si>
  <si>
    <t>CANAL PLUVIAL acero inoxidable</t>
  </si>
  <si>
    <t>Cumbrera y flashing</t>
  </si>
  <si>
    <t>CARRIOLA DOBLE DE 2X8" cal 16</t>
  </si>
  <si>
    <t>ACABADOS DE PAREDES Y PISO + ELECTROMECANICA</t>
  </si>
  <si>
    <t>Topping</t>
  </si>
  <si>
    <t>Revestimiento</t>
  </si>
  <si>
    <t>Juntas</t>
  </si>
  <si>
    <t>Pasta de paredes</t>
  </si>
  <si>
    <t>Lija de paredes</t>
  </si>
  <si>
    <t>Pintura de paredes base</t>
  </si>
  <si>
    <t>Pintura de paredes final</t>
  </si>
  <si>
    <t xml:space="preserve">Cuarto electrico, tuberias, cables, tapas, cajas, etc </t>
  </si>
  <si>
    <t>Plomeria, agua potable, sanitario, pluviales</t>
  </si>
  <si>
    <t>Sistema contra incendio</t>
  </si>
  <si>
    <t>Gas expuesto, tanque, nicho</t>
  </si>
  <si>
    <t>Sistema de aire acondicionado, solo mangas y 220v electrico en local</t>
  </si>
  <si>
    <t>Pintura de calle y estacionamientos</t>
  </si>
  <si>
    <t>del costo directo sale:</t>
  </si>
  <si>
    <t>COSTOS INDIRECTOS:</t>
  </si>
  <si>
    <t>ADMINISTRACION 30%</t>
  </si>
  <si>
    <t>IMPREVISTOS 20%</t>
  </si>
  <si>
    <t>UTILIDAD 50%</t>
  </si>
  <si>
    <t>COSTOS DIRECTOS +COSTOS INDIRECTOS</t>
  </si>
  <si>
    <t>COSTOS INDIRECTOS</t>
  </si>
  <si>
    <t>$/mes</t>
  </si>
  <si>
    <t>CAPATAZ</t>
  </si>
  <si>
    <t>SUB CAPATAZ</t>
  </si>
  <si>
    <t>TIMEKEEPER</t>
  </si>
  <si>
    <t>ALMACENISTA</t>
  </si>
  <si>
    <t>PICKUP+CHOFER+DIESEL</t>
  </si>
  <si>
    <t>GAS O DIESEL PARA EQUIPOS</t>
  </si>
  <si>
    <t>INGENIERO RESIDENTE</t>
  </si>
  <si>
    <t xml:space="preserve">CONTROL DE COSTOS. CONTABILIDAD </t>
  </si>
  <si>
    <t>ENCARGADO DE SEGURIDAD</t>
  </si>
  <si>
    <t>TOPOGRAFIA DE PROYECTO</t>
  </si>
  <si>
    <t>INGENIERO CALIDAD</t>
  </si>
  <si>
    <t>ASISTENTE DE PLANILLA</t>
  </si>
  <si>
    <t>ASISTENTE COMPRAS</t>
  </si>
  <si>
    <t>PLANTA ELECTRICA PEQUEÑA</t>
  </si>
  <si>
    <t>MAQUINA DE HIELO</t>
  </si>
  <si>
    <t>TELEFONO / COMUNICACIONES</t>
  </si>
  <si>
    <t>PERMISO SANIDAD Y BOMBEROS</t>
  </si>
  <si>
    <t xml:space="preserve">BONO DE PROPUESTA    </t>
  </si>
  <si>
    <t xml:space="preserve">BONO DE GARANTIA </t>
  </si>
  <si>
    <t xml:space="preserve">BONO DE PAGO    </t>
  </si>
  <si>
    <t xml:space="preserve">CAR (+SEGURO DE EQUIPO) </t>
  </si>
  <si>
    <t>BONO DE RESP CIVIL</t>
  </si>
  <si>
    <t>PERMISO DE ATTT</t>
  </si>
  <si>
    <t>PERMISO DE CONSTRUCCION(1-2%)</t>
  </si>
  <si>
    <t>PERMISO DE OCUPACION</t>
  </si>
  <si>
    <t>CUOTA SEGURIDAD (MITRADEL)</t>
  </si>
  <si>
    <t>UTILES Y EQUIPO DE OFICINA</t>
  </si>
  <si>
    <t>TIMBRES (0.1%)</t>
  </si>
  <si>
    <t>COMISIONES</t>
  </si>
  <si>
    <t>COPIA DE PLANOS</t>
  </si>
  <si>
    <t>LETREROS</t>
  </si>
  <si>
    <t>FINANCIAMIENTO</t>
  </si>
  <si>
    <t>INSUMOS. Acetileno, gas, oxigeno, discos, rocas, boquillas, etc</t>
  </si>
  <si>
    <t>SINDICATO. Dirigente y comisionado</t>
  </si>
  <si>
    <t>EQUIPOS DE SEGURIDAD. Guantes, lentes, etc</t>
  </si>
  <si>
    <t>IMPREVISTOS</t>
  </si>
  <si>
    <t>OFICINA CENTRAL</t>
  </si>
  <si>
    <t>TIPO</t>
  </si>
  <si>
    <t>CANT.</t>
  </si>
  <si>
    <t>ANCHO</t>
  </si>
  <si>
    <t>LARGO</t>
  </si>
  <si>
    <t>PROF.</t>
  </si>
  <si>
    <t>DESP</t>
  </si>
  <si>
    <t>EXCAVACION</t>
  </si>
  <si>
    <t>CONCRETO</t>
  </si>
  <si>
    <t>AD</t>
  </si>
  <si>
    <t>ZAPATA</t>
  </si>
  <si>
    <t>ML</t>
  </si>
  <si>
    <t>M3</t>
  </si>
  <si>
    <t>M2</t>
  </si>
  <si>
    <t>PIES</t>
  </si>
  <si>
    <t>Barra #</t>
  </si>
  <si>
    <t>C/U</t>
  </si>
  <si>
    <t># 5</t>
  </si>
  <si>
    <t># 6</t>
  </si>
  <si>
    <t># 7</t>
  </si>
  <si>
    <t># 8</t>
  </si>
  <si>
    <t>LBS</t>
  </si>
  <si>
    <t>4,000 PSI</t>
  </si>
  <si>
    <t>ancho</t>
  </si>
  <si>
    <t>alto</t>
  </si>
  <si>
    <t>largo</t>
  </si>
  <si>
    <t>prof</t>
  </si>
  <si>
    <t>relleno</t>
  </si>
  <si>
    <t>concreto</t>
  </si>
  <si>
    <t>formaleta</t>
  </si>
  <si>
    <t>cant</t>
  </si>
  <si>
    <t>concentrate dry-pac</t>
  </si>
  <si>
    <t>FUNDACION</t>
  </si>
  <si>
    <t>mts</t>
  </si>
  <si>
    <t>280 kg/cm2</t>
  </si>
  <si>
    <t>acero #4</t>
  </si>
  <si>
    <t># 5 a 0.3mts</t>
  </si>
  <si>
    <t>#5 a0.4 mts</t>
  </si>
  <si>
    <t>impermeabilizacion</t>
  </si>
  <si>
    <t>PARED</t>
  </si>
  <si>
    <t>peso # 4</t>
  </si>
  <si>
    <t>peso # 5</t>
  </si>
  <si>
    <t>tipo xypex</t>
  </si>
  <si>
    <t>junta de expa</t>
  </si>
  <si>
    <t>acero vert</t>
  </si>
  <si>
    <t>ton</t>
  </si>
  <si>
    <t>c/u</t>
  </si>
  <si>
    <t>mensula</t>
  </si>
  <si>
    <t>piedra # 4</t>
  </si>
  <si>
    <t>tuberia 4"</t>
  </si>
  <si>
    <t>cant Tubos</t>
  </si>
  <si>
    <t>bloques 4" relleno</t>
  </si>
  <si>
    <t>acero horz.</t>
  </si>
  <si>
    <t>T0TAL</t>
  </si>
  <si>
    <t>#4</t>
  </si>
  <si>
    <t>#5</t>
  </si>
  <si>
    <t>M-3-A</t>
  </si>
  <si>
    <t>MUROS</t>
  </si>
  <si>
    <t>M-1-G</t>
  </si>
  <si>
    <t>M-1-D</t>
  </si>
  <si>
    <t>M-1-C</t>
  </si>
  <si>
    <t>M-1-A</t>
  </si>
  <si>
    <t>M-4-B</t>
  </si>
  <si>
    <t>peso # 6</t>
  </si>
  <si>
    <t>M-4-A</t>
  </si>
  <si>
    <t>M-2-B</t>
  </si>
  <si>
    <t>M-2-C</t>
  </si>
  <si>
    <t>M-2-A</t>
  </si>
  <si>
    <t>M-6</t>
  </si>
  <si>
    <t># 4 a 0.25mts</t>
  </si>
  <si>
    <t>ALTO / ANCHO</t>
  </si>
  <si>
    <t>PROF</t>
  </si>
  <si>
    <t>ESP.</t>
  </si>
  <si>
    <t>BLOQUE DE 6</t>
  </si>
  <si>
    <t>ZAPATA O MURO</t>
  </si>
  <si>
    <t># 4</t>
  </si>
  <si>
    <t>ALTO</t>
  </si>
  <si>
    <t>PROFUNDIDAD</t>
  </si>
  <si>
    <t>MURO</t>
  </si>
  <si>
    <t>PISO DE TANQUE</t>
  </si>
  <si>
    <t>BLOQUEO</t>
  </si>
  <si>
    <t>pisos</t>
  </si>
  <si>
    <t>bloques  de 4"</t>
  </si>
  <si>
    <t>bloques de 6"</t>
  </si>
  <si>
    <t>altura</t>
  </si>
  <si>
    <t>bloques 4"</t>
  </si>
  <si>
    <t>repello exterior</t>
  </si>
  <si>
    <t>repello interior</t>
  </si>
  <si>
    <t>viga de amarre 0.10</t>
  </si>
  <si>
    <t>col de amarre 0.10</t>
  </si>
  <si>
    <t>viga de amarre 0.15</t>
  </si>
  <si>
    <t>col de amarre 0.15</t>
  </si>
  <si>
    <t>nivel</t>
  </si>
  <si>
    <t>cantidad</t>
  </si>
  <si>
    <t>PUERTAS NIVEL 000</t>
  </si>
  <si>
    <t>dintel</t>
  </si>
  <si>
    <t>alfeizer</t>
  </si>
  <si>
    <t>mocheta</t>
  </si>
  <si>
    <t>area</t>
  </si>
  <si>
    <t>PUERTAS NIVEL 050</t>
  </si>
  <si>
    <t>PUERTAS NIVEL 100</t>
  </si>
  <si>
    <t>PUERTAS NIVEL 200</t>
  </si>
  <si>
    <t>PUERTAS NIVEL 300</t>
  </si>
  <si>
    <t>elevador</t>
  </si>
  <si>
    <t>descripcion</t>
  </si>
  <si>
    <t>peso/pie</t>
  </si>
  <si>
    <t xml:space="preserve">piezas </t>
  </si>
  <si>
    <t>peso total</t>
  </si>
  <si>
    <t>escalera</t>
  </si>
  <si>
    <t>lbs</t>
  </si>
  <si>
    <t>acero #8</t>
  </si>
  <si>
    <t>acero #6</t>
  </si>
  <si>
    <t>acero #5</t>
  </si>
  <si>
    <t>acero #3</t>
  </si>
  <si>
    <t># de barra</t>
  </si>
  <si>
    <t>Cantidad</t>
  </si>
  <si>
    <t>formaleta pasos</t>
  </si>
  <si>
    <t>formaleta fondo</t>
  </si>
  <si>
    <t>escalomes</t>
  </si>
  <si>
    <t>espesor</t>
  </si>
  <si>
    <t>largo esc</t>
  </si>
  <si>
    <t>ancho esc</t>
  </si>
  <si>
    <t>Losas</t>
  </si>
  <si>
    <t xml:space="preserve">Viga Sismica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</si>
</sst>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B/.&quot;\ #,##0.00"/>
    <numFmt numFmtId="165" formatCode="0.0"/>
    <numFmt numFmtId="166" formatCode="&quot;B/.&quot;#,##0.00"/>
  </numFmts>
  <fonts count="22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1"/>
      <name val="Aptos Narrow"/>
      <family val="2"/>
      <scheme val="minor"/>
    </font>
    <font>
      <b/>
      <sz val="10"/>
      <name val="Arial"/>
      <family val="2"/>
    </font>
    <font>
      <sz val="11"/>
      <name val="Aptos Narrow"/>
      <family val="2"/>
      <scheme val="minor"/>
    </font>
    <font>
      <sz val="12"/>
      <color indexed="10"/>
      <name val="Arial"/>
      <family val="2"/>
    </font>
    <font>
      <sz val="12"/>
      <color indexed="56"/>
      <name val="Arial"/>
      <family val="2"/>
    </font>
    <font>
      <sz val="12"/>
      <color theme="3"/>
      <name val="Arial"/>
      <family val="2"/>
    </font>
    <font>
      <sz val="12"/>
      <color rgb="FFFF0000"/>
      <name val="Arial"/>
      <family val="2"/>
    </font>
    <font>
      <sz val="10"/>
      <color indexed="11"/>
      <name val="Arial"/>
      <family val="2"/>
    </font>
    <font>
      <sz val="10"/>
      <color indexed="10"/>
      <name val="Arial"/>
      <family val="2"/>
    </font>
    <font>
      <sz val="10"/>
      <color indexed="48"/>
      <name val="Arial"/>
      <family val="2"/>
    </font>
    <font>
      <sz val="10"/>
      <color indexed="12"/>
      <name val="Arial"/>
      <family val="2"/>
    </font>
    <font>
      <i/>
      <sz val="10"/>
      <color indexed="12"/>
      <name val="Arial"/>
      <family val="2"/>
    </font>
    <font>
      <sz val="10"/>
      <color indexed="56"/>
      <name val="Arial"/>
      <family val="2"/>
    </font>
    <font>
      <sz val="10"/>
      <color rgb="FFFF0000"/>
      <name val="Arial"/>
      <family val="2"/>
    </font>
    <font>
      <sz val="10"/>
      <color theme="3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323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/>
    <xf numFmtId="0" fontId="1" fillId="3" borderId="0" xfId="0" applyFont="1" applyFill="1"/>
    <xf numFmtId="0" fontId="1" fillId="5" borderId="0" xfId="0" applyFont="1" applyFill="1"/>
    <xf numFmtId="0" fontId="4" fillId="0" borderId="0" xfId="1"/>
    <xf numFmtId="0" fontId="5" fillId="0" borderId="0" xfId="1" applyFont="1"/>
    <xf numFmtId="4" fontId="5" fillId="0" borderId="0" xfId="1" applyNumberFormat="1" applyFont="1"/>
    <xf numFmtId="0" fontId="5" fillId="0" borderId="0" xfId="1" applyFont="1" applyAlignment="1">
      <alignment horizontal="right"/>
    </xf>
    <xf numFmtId="4" fontId="6" fillId="0" borderId="1" xfId="1" applyNumberFormat="1" applyFont="1" applyBorder="1"/>
    <xf numFmtId="4" fontId="5" fillId="6" borderId="0" xfId="1" applyNumberFormat="1" applyFont="1" applyFill="1"/>
    <xf numFmtId="0" fontId="5" fillId="0" borderId="0" xfId="1" applyFont="1" applyAlignment="1">
      <alignment horizontal="left" vertical="center"/>
    </xf>
    <xf numFmtId="4" fontId="5" fillId="2" borderId="0" xfId="1" applyNumberFormat="1" applyFont="1" applyFill="1"/>
    <xf numFmtId="4" fontId="6" fillId="0" borderId="1" xfId="1" applyNumberFormat="1" applyFont="1" applyBorder="1" applyAlignment="1">
      <alignment horizontal="center"/>
    </xf>
    <xf numFmtId="0" fontId="8" fillId="0" borderId="0" xfId="1" applyFont="1" applyAlignment="1">
      <alignment horizontal="center" wrapText="1"/>
    </xf>
    <xf numFmtId="164" fontId="7" fillId="7" borderId="9" xfId="1" applyNumberFormat="1" applyFont="1" applyFill="1" applyBorder="1" applyAlignment="1">
      <alignment horizontal="center" vertical="center" wrapText="1"/>
    </xf>
    <xf numFmtId="0" fontId="7" fillId="7" borderId="11" xfId="1" applyFont="1" applyFill="1" applyBorder="1" applyAlignment="1">
      <alignment horizontal="center" vertical="center" wrapText="1"/>
    </xf>
    <xf numFmtId="0" fontId="7" fillId="7" borderId="12" xfId="1" applyFont="1" applyFill="1" applyBorder="1" applyAlignment="1">
      <alignment horizontal="center" vertical="center" wrapText="1"/>
    </xf>
    <xf numFmtId="164" fontId="7" fillId="7" borderId="13" xfId="1" applyNumberFormat="1" applyFont="1" applyFill="1" applyBorder="1" applyAlignment="1">
      <alignment horizontal="center" vertical="center" wrapText="1"/>
    </xf>
    <xf numFmtId="0" fontId="7" fillId="7" borderId="14" xfId="1" applyFont="1" applyFill="1" applyBorder="1" applyAlignment="1">
      <alignment horizontal="center" vertical="center" wrapText="1"/>
    </xf>
    <xf numFmtId="1" fontId="7" fillId="0" borderId="2" xfId="1" applyNumberFormat="1" applyFont="1" applyBorder="1" applyAlignment="1">
      <alignment horizontal="center" vertical="center"/>
    </xf>
    <xf numFmtId="0" fontId="7" fillId="0" borderId="3" xfId="1" applyFont="1" applyBorder="1" applyAlignment="1">
      <alignment horizontal="left" vertical="center" wrapText="1"/>
    </xf>
    <xf numFmtId="3" fontId="7" fillId="2" borderId="3" xfId="1" applyNumberFormat="1" applyFont="1" applyFill="1" applyBorder="1" applyAlignment="1">
      <alignment horizontal="center" vertical="center"/>
    </xf>
    <xf numFmtId="164" fontId="7" fillId="0" borderId="4" xfId="1" applyNumberFormat="1" applyFont="1" applyBorder="1" applyAlignment="1">
      <alignment horizontal="center" vertical="center"/>
    </xf>
    <xf numFmtId="164" fontId="7" fillId="0" borderId="2" xfId="1" applyNumberFormat="1" applyFont="1" applyBorder="1" applyAlignment="1">
      <alignment horizontal="center" vertical="center"/>
    </xf>
    <xf numFmtId="164" fontId="9" fillId="0" borderId="4" xfId="1" applyNumberFormat="1" applyFont="1" applyBorder="1" applyAlignment="1">
      <alignment horizontal="center" vertical="center"/>
    </xf>
    <xf numFmtId="164" fontId="9" fillId="0" borderId="15" xfId="1" applyNumberFormat="1" applyFont="1" applyBorder="1" applyAlignment="1">
      <alignment horizontal="center" vertical="center"/>
    </xf>
    <xf numFmtId="164" fontId="9" fillId="2" borderId="15" xfId="1" applyNumberFormat="1" applyFont="1" applyFill="1" applyBorder="1" applyAlignment="1">
      <alignment horizontal="center" vertical="center"/>
    </xf>
    <xf numFmtId="165" fontId="9" fillId="2" borderId="16" xfId="1" applyNumberFormat="1" applyFont="1" applyFill="1" applyBorder="1" applyAlignment="1">
      <alignment horizontal="center" vertical="center"/>
    </xf>
    <xf numFmtId="0" fontId="9" fillId="2" borderId="17" xfId="1" applyFont="1" applyFill="1" applyBorder="1" applyAlignment="1">
      <alignment horizontal="left" vertical="center" wrapText="1"/>
    </xf>
    <xf numFmtId="4" fontId="9" fillId="2" borderId="17" xfId="1" applyNumberFormat="1" applyFont="1" applyFill="1" applyBorder="1" applyAlignment="1">
      <alignment horizontal="center" vertical="center"/>
    </xf>
    <xf numFmtId="164" fontId="9" fillId="2" borderId="18" xfId="1" applyNumberFormat="1" applyFont="1" applyFill="1" applyBorder="1" applyAlignment="1">
      <alignment horizontal="center" vertical="center"/>
    </xf>
    <xf numFmtId="164" fontId="9" fillId="2" borderId="16" xfId="1" applyNumberFormat="1" applyFont="1" applyFill="1" applyBorder="1" applyAlignment="1">
      <alignment horizontal="center" vertical="center"/>
    </xf>
    <xf numFmtId="164" fontId="9" fillId="2" borderId="19" xfId="1" applyNumberFormat="1" applyFont="1" applyFill="1" applyBorder="1" applyAlignment="1">
      <alignment horizontal="center" vertical="center"/>
    </xf>
    <xf numFmtId="0" fontId="9" fillId="2" borderId="16" xfId="1" applyFont="1" applyFill="1" applyBorder="1" applyAlignment="1">
      <alignment horizontal="center" vertical="center"/>
    </xf>
    <xf numFmtId="0" fontId="7" fillId="2" borderId="17" xfId="1" applyFont="1" applyFill="1" applyBorder="1" applyAlignment="1">
      <alignment horizontal="left" vertical="center" wrapText="1"/>
    </xf>
    <xf numFmtId="164" fontId="7" fillId="2" borderId="18" xfId="1" applyNumberFormat="1" applyFont="1" applyFill="1" applyBorder="1" applyAlignment="1">
      <alignment horizontal="center" vertical="center"/>
    </xf>
    <xf numFmtId="164" fontId="7" fillId="2" borderId="19" xfId="1" applyNumberFormat="1" applyFont="1" applyFill="1" applyBorder="1" applyAlignment="1">
      <alignment horizontal="center" vertical="center"/>
    </xf>
    <xf numFmtId="1" fontId="7" fillId="0" borderId="16" xfId="1" applyNumberFormat="1" applyFont="1" applyBorder="1" applyAlignment="1">
      <alignment horizontal="center" vertical="center"/>
    </xf>
    <xf numFmtId="0" fontId="7" fillId="0" borderId="17" xfId="1" applyFont="1" applyBorder="1" applyAlignment="1">
      <alignment horizontal="left" vertical="center" wrapText="1"/>
    </xf>
    <xf numFmtId="4" fontId="7" fillId="0" borderId="17" xfId="1" applyNumberFormat="1" applyFont="1" applyBorder="1" applyAlignment="1">
      <alignment horizontal="center" vertical="center"/>
    </xf>
    <xf numFmtId="164" fontId="7" fillId="0" borderId="18" xfId="1" applyNumberFormat="1" applyFont="1" applyBorder="1" applyAlignment="1">
      <alignment horizontal="center" vertical="center"/>
    </xf>
    <xf numFmtId="164" fontId="7" fillId="0" borderId="16" xfId="1" applyNumberFormat="1" applyFont="1" applyBorder="1" applyAlignment="1">
      <alignment horizontal="center" vertical="center"/>
    </xf>
    <xf numFmtId="164" fontId="9" fillId="0" borderId="18" xfId="1" applyNumberFormat="1" applyFont="1" applyBorder="1" applyAlignment="1">
      <alignment horizontal="center" vertical="center"/>
    </xf>
    <xf numFmtId="164" fontId="9" fillId="0" borderId="19" xfId="1" applyNumberFormat="1" applyFont="1" applyBorder="1" applyAlignment="1">
      <alignment horizontal="center" vertical="center"/>
    </xf>
    <xf numFmtId="4" fontId="7" fillId="2" borderId="17" xfId="1" applyNumberFormat="1" applyFont="1" applyFill="1" applyBorder="1" applyAlignment="1">
      <alignment horizontal="center" vertical="center"/>
    </xf>
    <xf numFmtId="166" fontId="4" fillId="0" borderId="0" xfId="1" applyNumberFormat="1"/>
    <xf numFmtId="164" fontId="4" fillId="0" borderId="0" xfId="1" applyNumberFormat="1"/>
    <xf numFmtId="164" fontId="9" fillId="6" borderId="16" xfId="1" applyNumberFormat="1" applyFont="1" applyFill="1" applyBorder="1" applyAlignment="1">
      <alignment horizontal="center" vertical="center"/>
    </xf>
    <xf numFmtId="0" fontId="9" fillId="2" borderId="9" xfId="1" applyFont="1" applyFill="1" applyBorder="1" applyAlignment="1">
      <alignment horizontal="center" vertical="center"/>
    </xf>
    <xf numFmtId="0" fontId="7" fillId="2" borderId="10" xfId="1" applyFont="1" applyFill="1" applyBorder="1" applyAlignment="1">
      <alignment horizontal="right" vertical="center" wrapText="1"/>
    </xf>
    <xf numFmtId="4" fontId="9" fillId="2" borderId="10" xfId="1" applyNumberFormat="1" applyFont="1" applyFill="1" applyBorder="1" applyAlignment="1">
      <alignment horizontal="center" vertical="center"/>
    </xf>
    <xf numFmtId="164" fontId="9" fillId="2" borderId="11" xfId="1" applyNumberFormat="1" applyFont="1" applyFill="1" applyBorder="1" applyAlignment="1">
      <alignment horizontal="center" vertical="center"/>
    </xf>
    <xf numFmtId="164" fontId="9" fillId="2" borderId="9" xfId="1" applyNumberFormat="1" applyFont="1" applyFill="1" applyBorder="1" applyAlignment="1">
      <alignment horizontal="center" vertical="center"/>
    </xf>
    <xf numFmtId="164" fontId="7" fillId="2" borderId="11" xfId="1" applyNumberFormat="1" applyFont="1" applyFill="1" applyBorder="1" applyAlignment="1">
      <alignment horizontal="center" vertical="center"/>
    </xf>
    <xf numFmtId="164" fontId="7" fillId="2" borderId="12" xfId="1" applyNumberFormat="1" applyFont="1" applyFill="1" applyBorder="1" applyAlignment="1">
      <alignment horizontal="center" vertical="center"/>
    </xf>
    <xf numFmtId="1" fontId="7" fillId="0" borderId="0" xfId="1" applyNumberFormat="1" applyFont="1" applyAlignment="1">
      <alignment horizontal="center" vertical="center"/>
    </xf>
    <xf numFmtId="0" fontId="7" fillId="0" borderId="0" xfId="1" applyFont="1" applyAlignment="1">
      <alignment horizontal="left" vertical="center" wrapText="1"/>
    </xf>
    <xf numFmtId="4" fontId="7" fillId="0" borderId="0" xfId="1" applyNumberFormat="1" applyFont="1" applyAlignment="1">
      <alignment horizontal="center" vertical="center"/>
    </xf>
    <xf numFmtId="164" fontId="7" fillId="0" borderId="0" xfId="1" applyNumberFormat="1" applyFont="1" applyAlignment="1">
      <alignment horizontal="center" vertical="center"/>
    </xf>
    <xf numFmtId="164" fontId="9" fillId="0" borderId="1" xfId="1" applyNumberFormat="1" applyFont="1" applyBorder="1" applyAlignment="1">
      <alignment horizontal="center" vertical="center"/>
    </xf>
    <xf numFmtId="164" fontId="9" fillId="2" borderId="1" xfId="1" applyNumberFormat="1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7" fillId="0" borderId="0" xfId="1" applyFont="1" applyAlignment="1">
      <alignment horizontal="right" vertical="center" wrapText="1"/>
    </xf>
    <xf numFmtId="164" fontId="7" fillId="0" borderId="0" xfId="1" applyNumberFormat="1" applyFont="1" applyAlignment="1">
      <alignment horizontal="right" vertical="center"/>
    </xf>
    <xf numFmtId="164" fontId="9" fillId="2" borderId="15" xfId="1" applyNumberFormat="1" applyFont="1" applyFill="1" applyBorder="1" applyAlignment="1">
      <alignment horizontal="right" vertical="center"/>
    </xf>
    <xf numFmtId="164" fontId="9" fillId="0" borderId="0" xfId="1" applyNumberFormat="1" applyFont="1" applyAlignment="1">
      <alignment horizontal="right" vertical="center"/>
    </xf>
    <xf numFmtId="164" fontId="9" fillId="0" borderId="23" xfId="1" applyNumberFormat="1" applyFont="1" applyBorder="1" applyAlignment="1">
      <alignment horizontal="right" vertical="center"/>
    </xf>
    <xf numFmtId="164" fontId="9" fillId="2" borderId="23" xfId="1" applyNumberFormat="1" applyFont="1" applyFill="1" applyBorder="1" applyAlignment="1">
      <alignment horizontal="right" vertical="center"/>
    </xf>
    <xf numFmtId="164" fontId="7" fillId="0" borderId="12" xfId="1" applyNumberFormat="1" applyFont="1" applyBorder="1" applyAlignment="1">
      <alignment horizontal="right" vertical="center"/>
    </xf>
    <xf numFmtId="164" fontId="7" fillId="2" borderId="12" xfId="1" applyNumberFormat="1" applyFont="1" applyFill="1" applyBorder="1" applyAlignment="1">
      <alignment horizontal="right" vertical="center"/>
    </xf>
    <xf numFmtId="0" fontId="4" fillId="2" borderId="0" xfId="1" applyFill="1"/>
    <xf numFmtId="0" fontId="4" fillId="7" borderId="0" xfId="1" applyFill="1" applyAlignment="1">
      <alignment horizontal="right"/>
    </xf>
    <xf numFmtId="10" fontId="8" fillId="7" borderId="0" xfId="1" applyNumberFormat="1" applyFont="1" applyFill="1" applyAlignment="1">
      <alignment horizontal="left"/>
    </xf>
    <xf numFmtId="0" fontId="8" fillId="7" borderId="2" xfId="1" applyFont="1" applyFill="1" applyBorder="1" applyAlignment="1">
      <alignment horizontal="right"/>
    </xf>
    <xf numFmtId="166" fontId="8" fillId="0" borderId="15" xfId="1" applyNumberFormat="1" applyFont="1" applyBorder="1"/>
    <xf numFmtId="166" fontId="8" fillId="2" borderId="0" xfId="1" applyNumberFormat="1" applyFont="1" applyFill="1"/>
    <xf numFmtId="10" fontId="8" fillId="2" borderId="0" xfId="1" applyNumberFormat="1" applyFont="1" applyFill="1" applyAlignment="1">
      <alignment horizontal="left"/>
    </xf>
    <xf numFmtId="0" fontId="4" fillId="0" borderId="16" xfId="1" applyBorder="1" applyAlignment="1">
      <alignment horizontal="right"/>
    </xf>
    <xf numFmtId="166" fontId="4" fillId="0" borderId="19" xfId="1" applyNumberFormat="1" applyBorder="1"/>
    <xf numFmtId="166" fontId="4" fillId="2" borderId="0" xfId="1" applyNumberFormat="1" applyFill="1"/>
    <xf numFmtId="0" fontId="4" fillId="0" borderId="9" xfId="1" applyBorder="1" applyAlignment="1">
      <alignment horizontal="right"/>
    </xf>
    <xf numFmtId="166" fontId="4" fillId="0" borderId="12" xfId="1" applyNumberFormat="1" applyBorder="1"/>
    <xf numFmtId="0" fontId="8" fillId="2" borderId="0" xfId="1" applyFont="1" applyFill="1" applyAlignment="1">
      <alignment horizontal="center"/>
    </xf>
    <xf numFmtId="164" fontId="9" fillId="2" borderId="0" xfId="1" applyNumberFormat="1" applyFont="1" applyFill="1" applyAlignment="1">
      <alignment horizontal="center" vertical="center"/>
    </xf>
    <xf numFmtId="164" fontId="9" fillId="0" borderId="15" xfId="1" applyNumberFormat="1" applyFont="1" applyBorder="1" applyAlignment="1">
      <alignment horizontal="right" vertical="center"/>
    </xf>
    <xf numFmtId="164" fontId="9" fillId="2" borderId="0" xfId="1" applyNumberFormat="1" applyFont="1" applyFill="1" applyAlignment="1">
      <alignment horizontal="right" vertical="center"/>
    </xf>
    <xf numFmtId="164" fontId="7" fillId="2" borderId="0" xfId="1" applyNumberFormat="1" applyFont="1" applyFill="1" applyAlignment="1">
      <alignment horizontal="right" vertical="center"/>
    </xf>
    <xf numFmtId="1" fontId="7" fillId="7" borderId="2" xfId="1" applyNumberFormat="1" applyFont="1" applyFill="1" applyBorder="1" applyAlignment="1">
      <alignment horizontal="center" vertical="center"/>
    </xf>
    <xf numFmtId="0" fontId="7" fillId="7" borderId="3" xfId="1" applyFont="1" applyFill="1" applyBorder="1" applyAlignment="1">
      <alignment horizontal="left" vertical="center" wrapText="1"/>
    </xf>
    <xf numFmtId="4" fontId="7" fillId="7" borderId="3" xfId="1" applyNumberFormat="1" applyFont="1" applyFill="1" applyBorder="1" applyAlignment="1">
      <alignment horizontal="center" vertical="center"/>
    </xf>
    <xf numFmtId="164" fontId="7" fillId="7" borderId="4" xfId="1" applyNumberFormat="1" applyFont="1" applyFill="1" applyBorder="1" applyAlignment="1">
      <alignment horizontal="center" vertical="center"/>
    </xf>
    <xf numFmtId="164" fontId="7" fillId="7" borderId="2" xfId="1" applyNumberFormat="1" applyFont="1" applyFill="1" applyBorder="1" applyAlignment="1">
      <alignment horizontal="center" vertical="center"/>
    </xf>
    <xf numFmtId="164" fontId="7" fillId="2" borderId="0" xfId="1" applyNumberFormat="1" applyFont="1" applyFill="1" applyAlignment="1">
      <alignment horizontal="center" vertical="center"/>
    </xf>
    <xf numFmtId="0" fontId="8" fillId="0" borderId="0" xfId="1" applyFont="1"/>
    <xf numFmtId="164" fontId="7" fillId="2" borderId="28" xfId="1" applyNumberFormat="1" applyFont="1" applyFill="1" applyBorder="1" applyAlignment="1">
      <alignment horizontal="center" vertical="center"/>
    </xf>
    <xf numFmtId="164" fontId="7" fillId="2" borderId="29" xfId="1" applyNumberFormat="1" applyFont="1" applyFill="1" applyBorder="1" applyAlignment="1">
      <alignment horizontal="center" vertical="center"/>
    </xf>
    <xf numFmtId="164" fontId="7" fillId="0" borderId="9" xfId="1" applyNumberFormat="1" applyFont="1" applyBorder="1" applyAlignment="1">
      <alignment horizontal="center" vertical="center"/>
    </xf>
    <xf numFmtId="164" fontId="9" fillId="0" borderId="11" xfId="1" applyNumberFormat="1" applyFont="1" applyBorder="1" applyAlignment="1">
      <alignment horizontal="center" vertical="center"/>
    </xf>
    <xf numFmtId="0" fontId="5" fillId="8" borderId="17" xfId="1" applyFont="1" applyFill="1" applyBorder="1" applyAlignment="1">
      <alignment horizontal="center" wrapText="1"/>
    </xf>
    <xf numFmtId="0" fontId="5" fillId="8" borderId="17" xfId="1" applyFont="1" applyFill="1" applyBorder="1" applyAlignment="1">
      <alignment horizontal="center"/>
    </xf>
    <xf numFmtId="0" fontId="6" fillId="8" borderId="17" xfId="1" applyFont="1" applyFill="1" applyBorder="1" applyAlignment="1">
      <alignment horizontal="center"/>
    </xf>
    <xf numFmtId="0" fontId="6" fillId="8" borderId="17" xfId="1" applyFont="1" applyFill="1" applyBorder="1"/>
    <xf numFmtId="0" fontId="10" fillId="0" borderId="0" xfId="1" applyFont="1" applyAlignment="1">
      <alignment horizontal="center"/>
    </xf>
    <xf numFmtId="1" fontId="11" fillId="0" borderId="0" xfId="1" applyNumberFormat="1" applyFont="1" applyAlignment="1">
      <alignment horizontal="center"/>
    </xf>
    <xf numFmtId="2" fontId="11" fillId="0" borderId="0" xfId="1" applyNumberFormat="1" applyFont="1"/>
    <xf numFmtId="2" fontId="10" fillId="0" borderId="0" xfId="1" applyNumberFormat="1" applyFont="1"/>
    <xf numFmtId="2" fontId="10" fillId="0" borderId="0" xfId="1" applyNumberFormat="1" applyFont="1" applyAlignment="1">
      <alignment horizontal="center"/>
    </xf>
    <xf numFmtId="0" fontId="5" fillId="0" borderId="0" xfId="1" applyFont="1" applyAlignment="1">
      <alignment horizontal="center"/>
    </xf>
    <xf numFmtId="0" fontId="4" fillId="0" borderId="0" xfId="1" applyAlignment="1">
      <alignment horizontal="center"/>
    </xf>
    <xf numFmtId="0" fontId="5" fillId="0" borderId="17" xfId="1" applyFont="1" applyBorder="1" applyAlignment="1">
      <alignment horizontal="center" vertical="center"/>
    </xf>
    <xf numFmtId="4" fontId="5" fillId="0" borderId="17" xfId="1" applyNumberFormat="1" applyFont="1" applyBorder="1" applyAlignment="1">
      <alignment horizontal="center" vertical="center"/>
    </xf>
    <xf numFmtId="1" fontId="5" fillId="0" borderId="17" xfId="1" applyNumberFormat="1" applyFont="1" applyBorder="1" applyAlignment="1">
      <alignment horizontal="center" vertical="center"/>
    </xf>
    <xf numFmtId="2" fontId="10" fillId="0" borderId="0" xfId="1" applyNumberFormat="1" applyFont="1" applyAlignment="1">
      <alignment horizontal="center" vertical="center"/>
    </xf>
    <xf numFmtId="1" fontId="11" fillId="0" borderId="0" xfId="1" applyNumberFormat="1" applyFont="1" applyAlignment="1">
      <alignment horizontal="center" vertical="center"/>
    </xf>
    <xf numFmtId="2" fontId="11" fillId="0" borderId="0" xfId="1" applyNumberFormat="1" applyFont="1" applyAlignment="1">
      <alignment vertical="center"/>
    </xf>
    <xf numFmtId="2" fontId="10" fillId="0" borderId="0" xfId="1" applyNumberFormat="1" applyFont="1" applyAlignment="1">
      <alignment vertical="center"/>
    </xf>
    <xf numFmtId="0" fontId="5" fillId="0" borderId="0" xfId="1" applyFont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vertical="center"/>
    </xf>
    <xf numFmtId="0" fontId="5" fillId="0" borderId="17" xfId="1" applyFont="1" applyBorder="1" applyAlignment="1">
      <alignment horizontal="center" vertical="center" wrapText="1"/>
    </xf>
    <xf numFmtId="4" fontId="5" fillId="0" borderId="17" xfId="1" applyNumberFormat="1" applyFont="1" applyBorder="1" applyAlignment="1">
      <alignment horizontal="center" vertical="center" wrapText="1"/>
    </xf>
    <xf numFmtId="1" fontId="5" fillId="0" borderId="17" xfId="1" applyNumberFormat="1" applyFont="1" applyBorder="1" applyAlignment="1">
      <alignment horizontal="center" vertical="center" wrapText="1"/>
    </xf>
    <xf numFmtId="0" fontId="5" fillId="0" borderId="0" xfId="1" applyFont="1" applyAlignment="1">
      <alignment horizontal="center" wrapText="1"/>
    </xf>
    <xf numFmtId="0" fontId="5" fillId="0" borderId="17" xfId="1" applyFont="1" applyBorder="1" applyAlignment="1">
      <alignment horizontal="center"/>
    </xf>
    <xf numFmtId="4" fontId="6" fillId="0" borderId="17" xfId="1" applyNumberFormat="1" applyFont="1" applyBorder="1" applyAlignment="1">
      <alignment horizontal="center"/>
    </xf>
    <xf numFmtId="2" fontId="5" fillId="0" borderId="0" xfId="1" applyNumberFormat="1" applyFont="1" applyAlignment="1">
      <alignment horizontal="center"/>
    </xf>
    <xf numFmtId="1" fontId="5" fillId="0" borderId="0" xfId="1" applyNumberFormat="1" applyFont="1" applyAlignment="1">
      <alignment horizontal="center"/>
    </xf>
    <xf numFmtId="0" fontId="12" fillId="0" borderId="0" xfId="1" applyFont="1" applyAlignment="1">
      <alignment horizontal="center" wrapText="1"/>
    </xf>
    <xf numFmtId="0" fontId="12" fillId="0" borderId="0" xfId="1" applyFont="1" applyAlignment="1">
      <alignment horizontal="center"/>
    </xf>
    <xf numFmtId="2" fontId="13" fillId="0" borderId="0" xfId="1" applyNumberFormat="1" applyFont="1" applyAlignment="1">
      <alignment horizontal="center"/>
    </xf>
    <xf numFmtId="2" fontId="6" fillId="0" borderId="0" xfId="1" applyNumberFormat="1" applyFont="1" applyAlignment="1">
      <alignment horizontal="center"/>
    </xf>
    <xf numFmtId="2" fontId="5" fillId="0" borderId="0" xfId="1" applyNumberFormat="1" applyFont="1"/>
    <xf numFmtId="1" fontId="11" fillId="0" borderId="0" xfId="1" applyNumberFormat="1" applyFont="1" applyAlignment="1">
      <alignment horizontal="right"/>
    </xf>
    <xf numFmtId="2" fontId="11" fillId="0" borderId="0" xfId="1" applyNumberFormat="1" applyFont="1" applyAlignment="1">
      <alignment horizontal="right"/>
    </xf>
    <xf numFmtId="0" fontId="14" fillId="0" borderId="0" xfId="1" applyFont="1" applyAlignment="1">
      <alignment wrapText="1"/>
    </xf>
    <xf numFmtId="0" fontId="15" fillId="0" borderId="0" xfId="1" applyFont="1"/>
    <xf numFmtId="2" fontId="15" fillId="0" borderId="0" xfId="1" applyNumberFormat="1" applyFont="1" applyAlignment="1">
      <alignment horizontal="center"/>
    </xf>
    <xf numFmtId="1" fontId="4" fillId="0" borderId="0" xfId="1" applyNumberFormat="1"/>
    <xf numFmtId="2" fontId="15" fillId="0" borderId="0" xfId="1" applyNumberFormat="1" applyFont="1"/>
    <xf numFmtId="2" fontId="4" fillId="0" borderId="0" xfId="1" applyNumberFormat="1"/>
    <xf numFmtId="0" fontId="16" fillId="0" borderId="0" xfId="1" applyFont="1"/>
    <xf numFmtId="2" fontId="16" fillId="0" borderId="0" xfId="1" applyNumberFormat="1" applyFont="1" applyAlignment="1">
      <alignment horizontal="center"/>
    </xf>
    <xf numFmtId="1" fontId="16" fillId="0" borderId="0" xfId="1" applyNumberFormat="1" applyFont="1"/>
    <xf numFmtId="2" fontId="16" fillId="0" borderId="0" xfId="1" applyNumberFormat="1" applyFont="1"/>
    <xf numFmtId="0" fontId="14" fillId="0" borderId="0" xfId="1" applyFont="1" applyAlignment="1">
      <alignment horizontal="center" wrapText="1"/>
    </xf>
    <xf numFmtId="0" fontId="15" fillId="0" borderId="0" xfId="1" applyFont="1" applyAlignment="1">
      <alignment horizontal="center"/>
    </xf>
    <xf numFmtId="0" fontId="4" fillId="0" borderId="0" xfId="1" applyAlignment="1">
      <alignment wrapText="1"/>
    </xf>
    <xf numFmtId="0" fontId="17" fillId="0" borderId="0" xfId="1" applyFont="1"/>
    <xf numFmtId="1" fontId="18" fillId="0" borderId="0" xfId="1" applyNumberFormat="1" applyFont="1" applyAlignment="1">
      <alignment horizontal="center"/>
    </xf>
    <xf numFmtId="2" fontId="17" fillId="0" borderId="0" xfId="1" applyNumberFormat="1" applyFont="1"/>
    <xf numFmtId="2" fontId="17" fillId="0" borderId="0" xfId="1" applyNumberFormat="1" applyFont="1" applyAlignment="1">
      <alignment horizontal="center"/>
    </xf>
    <xf numFmtId="1" fontId="15" fillId="0" borderId="0" xfId="1" applyNumberFormat="1" applyFont="1" applyAlignment="1">
      <alignment horizontal="center"/>
    </xf>
    <xf numFmtId="2" fontId="19" fillId="0" borderId="0" xfId="1" applyNumberFormat="1" applyFont="1"/>
    <xf numFmtId="0" fontId="4" fillId="0" borderId="0" xfId="1" applyAlignment="1">
      <alignment horizontal="center" wrapText="1"/>
    </xf>
    <xf numFmtId="2" fontId="4" fillId="0" borderId="0" xfId="1" applyNumberFormat="1" applyAlignment="1">
      <alignment horizontal="center"/>
    </xf>
    <xf numFmtId="0" fontId="5" fillId="8" borderId="17" xfId="1" applyFont="1" applyFill="1" applyBorder="1" applyAlignment="1">
      <alignment horizontal="center" vertical="center" wrapText="1"/>
    </xf>
    <xf numFmtId="0" fontId="6" fillId="8" borderId="17" xfId="1" applyFont="1" applyFill="1" applyBorder="1" applyAlignment="1">
      <alignment horizontal="center" vertical="center" wrapText="1"/>
    </xf>
    <xf numFmtId="0" fontId="10" fillId="0" borderId="0" xfId="1" applyFont="1" applyAlignment="1">
      <alignment horizontal="center" vertical="center" wrapText="1"/>
    </xf>
    <xf numFmtId="1" fontId="11" fillId="0" borderId="0" xfId="1" applyNumberFormat="1" applyFont="1" applyAlignment="1">
      <alignment horizontal="center" vertical="center" wrapText="1"/>
    </xf>
    <xf numFmtId="2" fontId="11" fillId="0" borderId="0" xfId="1" applyNumberFormat="1" applyFont="1" applyAlignment="1">
      <alignment horizontal="center" vertical="center" wrapText="1"/>
    </xf>
    <xf numFmtId="2" fontId="10" fillId="0" borderId="0" xfId="1" applyNumberFormat="1" applyFont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4" fillId="0" borderId="0" xfId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14" fillId="2" borderId="0" xfId="1" applyFont="1" applyFill="1" applyAlignment="1">
      <alignment horizontal="center"/>
    </xf>
    <xf numFmtId="0" fontId="12" fillId="2" borderId="0" xfId="1" applyFont="1" applyFill="1" applyAlignment="1">
      <alignment horizontal="center"/>
    </xf>
    <xf numFmtId="0" fontId="14" fillId="2" borderId="0" xfId="1" applyFont="1" applyFill="1"/>
    <xf numFmtId="0" fontId="4" fillId="2" borderId="0" xfId="1" applyFill="1" applyAlignment="1">
      <alignment horizontal="center"/>
    </xf>
    <xf numFmtId="1" fontId="5" fillId="0" borderId="0" xfId="1" applyNumberFormat="1" applyFont="1" applyAlignment="1">
      <alignment horizontal="center" vertical="center"/>
    </xf>
    <xf numFmtId="1" fontId="5" fillId="8" borderId="17" xfId="1" applyNumberFormat="1" applyFont="1" applyFill="1" applyBorder="1" applyAlignment="1">
      <alignment horizontal="center" vertical="center" wrapText="1"/>
    </xf>
    <xf numFmtId="4" fontId="6" fillId="0" borderId="17" xfId="1" applyNumberFormat="1" applyFont="1" applyBorder="1" applyAlignment="1">
      <alignment horizontal="center" vertical="center"/>
    </xf>
    <xf numFmtId="2" fontId="5" fillId="0" borderId="0" xfId="1" applyNumberFormat="1" applyFont="1" applyAlignment="1">
      <alignment horizontal="center" vertical="center"/>
    </xf>
    <xf numFmtId="0" fontId="12" fillId="0" borderId="0" xfId="1" applyFont="1" applyAlignment="1">
      <alignment horizontal="center" vertical="center"/>
    </xf>
    <xf numFmtId="2" fontId="13" fillId="0" borderId="0" xfId="1" applyNumberFormat="1" applyFont="1" applyAlignment="1">
      <alignment horizontal="center" vertical="center"/>
    </xf>
    <xf numFmtId="2" fontId="6" fillId="0" borderId="0" xfId="1" applyNumberFormat="1" applyFont="1" applyAlignment="1">
      <alignment horizontal="center" vertical="center"/>
    </xf>
    <xf numFmtId="2" fontId="11" fillId="0" borderId="0" xfId="1" applyNumberFormat="1" applyFont="1" applyAlignment="1">
      <alignment horizontal="center" vertical="center"/>
    </xf>
    <xf numFmtId="0" fontId="14" fillId="0" borderId="0" xfId="1" applyFont="1"/>
    <xf numFmtId="0" fontId="15" fillId="0" borderId="0" xfId="1" applyFont="1" applyAlignment="1">
      <alignment horizontal="center" vertical="center"/>
    </xf>
    <xf numFmtId="1" fontId="15" fillId="0" borderId="0" xfId="1" applyNumberFormat="1" applyFont="1" applyAlignment="1">
      <alignment horizontal="center" vertical="center"/>
    </xf>
    <xf numFmtId="0" fontId="5" fillId="8" borderId="17" xfId="1" applyFont="1" applyFill="1" applyBorder="1" applyAlignment="1">
      <alignment horizontal="center" vertical="center"/>
    </xf>
    <xf numFmtId="4" fontId="5" fillId="0" borderId="36" xfId="1" applyNumberFormat="1" applyFont="1" applyBorder="1" applyAlignment="1">
      <alignment vertical="center"/>
    </xf>
    <xf numFmtId="4" fontId="5" fillId="0" borderId="26" xfId="1" applyNumberFormat="1" applyFont="1" applyBorder="1" applyAlignment="1">
      <alignment horizontal="center" vertical="center"/>
    </xf>
    <xf numFmtId="4" fontId="6" fillId="0" borderId="36" xfId="1" applyNumberFormat="1" applyFont="1" applyBorder="1" applyAlignment="1">
      <alignment horizontal="center" vertical="center"/>
    </xf>
    <xf numFmtId="1" fontId="6" fillId="0" borderId="26" xfId="1" applyNumberFormat="1" applyFont="1" applyBorder="1" applyAlignment="1">
      <alignment horizontal="center" vertical="center"/>
    </xf>
    <xf numFmtId="4" fontId="6" fillId="0" borderId="26" xfId="1" applyNumberFormat="1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1" fontId="4" fillId="0" borderId="0" xfId="1" applyNumberFormat="1" applyAlignment="1">
      <alignment horizontal="center" vertical="center"/>
    </xf>
    <xf numFmtId="2" fontId="4" fillId="0" borderId="0" xfId="1" applyNumberFormat="1" applyAlignment="1">
      <alignment horizontal="center" vertical="center"/>
    </xf>
    <xf numFmtId="0" fontId="14" fillId="0" borderId="0" xfId="1" applyFont="1" applyAlignment="1">
      <alignment horizontal="center"/>
    </xf>
    <xf numFmtId="2" fontId="15" fillId="0" borderId="0" xfId="1" applyNumberFormat="1" applyFont="1" applyAlignment="1">
      <alignment horizontal="center" vertical="center"/>
    </xf>
    <xf numFmtId="0" fontId="17" fillId="0" borderId="0" xfId="1" applyFont="1" applyAlignment="1">
      <alignment horizontal="center" vertical="center"/>
    </xf>
    <xf numFmtId="1" fontId="17" fillId="0" borderId="0" xfId="1" applyNumberFormat="1" applyFont="1" applyAlignment="1">
      <alignment horizontal="center" vertical="center"/>
    </xf>
    <xf numFmtId="1" fontId="18" fillId="0" borderId="0" xfId="1" applyNumberFormat="1" applyFont="1" applyAlignment="1">
      <alignment horizontal="center" vertical="center"/>
    </xf>
    <xf numFmtId="2" fontId="17" fillId="0" borderId="0" xfId="1" applyNumberFormat="1" applyFont="1" applyAlignment="1">
      <alignment horizontal="center" vertical="center"/>
    </xf>
    <xf numFmtId="2" fontId="19" fillId="0" borderId="0" xfId="1" applyNumberFormat="1" applyFont="1" applyAlignment="1">
      <alignment horizontal="center" vertical="center"/>
    </xf>
    <xf numFmtId="0" fontId="6" fillId="0" borderId="0" xfId="1" applyFont="1"/>
    <xf numFmtId="0" fontId="6" fillId="9" borderId="17" xfId="1" applyFont="1" applyFill="1" applyBorder="1" applyAlignment="1">
      <alignment vertical="center" wrapText="1"/>
    </xf>
    <xf numFmtId="0" fontId="5" fillId="9" borderId="17" xfId="1" applyFont="1" applyFill="1" applyBorder="1" applyAlignment="1">
      <alignment horizontal="center" vertical="center" wrapText="1"/>
    </xf>
    <xf numFmtId="0" fontId="6" fillId="9" borderId="17" xfId="1" applyFont="1" applyFill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9" borderId="17" xfId="1" applyFont="1" applyFill="1" applyBorder="1"/>
    <xf numFmtId="0" fontId="5" fillId="9" borderId="17" xfId="1" applyFont="1" applyFill="1" applyBorder="1" applyAlignment="1">
      <alignment horizontal="center"/>
    </xf>
    <xf numFmtId="0" fontId="6" fillId="9" borderId="17" xfId="1" applyFont="1" applyFill="1" applyBorder="1" applyAlignment="1">
      <alignment horizontal="center"/>
    </xf>
    <xf numFmtId="0" fontId="5" fillId="0" borderId="17" xfId="1" applyFont="1" applyBorder="1"/>
    <xf numFmtId="4" fontId="5" fillId="0" borderId="17" xfId="1" applyNumberFormat="1" applyFont="1" applyBorder="1" applyAlignment="1">
      <alignment horizontal="center"/>
    </xf>
    <xf numFmtId="4" fontId="5" fillId="0" borderId="17" xfId="1" applyNumberFormat="1" applyFont="1" applyBorder="1"/>
    <xf numFmtId="4" fontId="6" fillId="0" borderId="17" xfId="1" applyNumberFormat="1" applyFont="1" applyBorder="1"/>
    <xf numFmtId="0" fontId="13" fillId="0" borderId="0" xfId="1" applyFont="1"/>
    <xf numFmtId="0" fontId="17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19" fillId="0" borderId="0" xfId="1" applyFont="1" applyAlignment="1">
      <alignment horizontal="center"/>
    </xf>
    <xf numFmtId="49" fontId="5" fillId="0" borderId="17" xfId="1" applyNumberFormat="1" applyFont="1" applyBorder="1" applyAlignment="1">
      <alignment horizontal="center"/>
    </xf>
    <xf numFmtId="4" fontId="5" fillId="0" borderId="17" xfId="1" applyNumberFormat="1" applyFont="1" applyBorder="1" applyAlignment="1">
      <alignment horizontal="center" wrapText="1"/>
    </xf>
    <xf numFmtId="4" fontId="17" fillId="0" borderId="0" xfId="1" applyNumberFormat="1" applyFont="1" applyAlignment="1">
      <alignment horizontal="center"/>
    </xf>
    <xf numFmtId="4" fontId="5" fillId="0" borderId="0" xfId="1" applyNumberFormat="1" applyFont="1" applyAlignment="1">
      <alignment horizontal="center" wrapText="1"/>
    </xf>
    <xf numFmtId="4" fontId="5" fillId="0" borderId="0" xfId="1" applyNumberFormat="1" applyFont="1" applyAlignment="1">
      <alignment horizontal="center"/>
    </xf>
    <xf numFmtId="0" fontId="21" fillId="0" borderId="0" xfId="1" applyFont="1" applyAlignment="1">
      <alignment horizontal="center"/>
    </xf>
    <xf numFmtId="0" fontId="4" fillId="9" borderId="17" xfId="1" applyFill="1" applyBorder="1" applyAlignment="1">
      <alignment horizontal="center" vertical="center" wrapText="1"/>
    </xf>
    <xf numFmtId="2" fontId="4" fillId="9" borderId="17" xfId="1" applyNumberFormat="1" applyFill="1" applyBorder="1" applyAlignment="1">
      <alignment horizontal="center" vertical="center" wrapText="1"/>
    </xf>
    <xf numFmtId="0" fontId="8" fillId="2" borderId="0" xfId="1" applyFont="1" applyFill="1" applyAlignment="1">
      <alignment horizontal="center" vertical="center" wrapText="1"/>
    </xf>
    <xf numFmtId="0" fontId="4" fillId="2" borderId="0" xfId="1" applyFill="1" applyAlignment="1">
      <alignment horizontal="center" vertical="center" wrapText="1"/>
    </xf>
    <xf numFmtId="1" fontId="4" fillId="2" borderId="0" xfId="1" applyNumberFormat="1" applyFill="1" applyAlignment="1">
      <alignment horizontal="center" vertical="center" wrapText="1"/>
    </xf>
    <xf numFmtId="0" fontId="20" fillId="0" borderId="0" xfId="1" applyFont="1"/>
    <xf numFmtId="2" fontId="8" fillId="2" borderId="0" xfId="1" applyNumberFormat="1" applyFont="1" applyFill="1" applyAlignment="1">
      <alignment horizontal="center" vertical="center" wrapText="1"/>
    </xf>
    <xf numFmtId="2" fontId="4" fillId="2" borderId="0" xfId="1" applyNumberFormat="1" applyFill="1" applyAlignment="1">
      <alignment horizontal="center" vertical="center" wrapText="1"/>
    </xf>
    <xf numFmtId="4" fontId="4" fillId="0" borderId="17" xfId="1" applyNumberFormat="1" applyBorder="1" applyAlignment="1">
      <alignment horizontal="center" vertical="center" wrapText="1"/>
    </xf>
    <xf numFmtId="2" fontId="4" fillId="0" borderId="17" xfId="1" applyNumberFormat="1" applyBorder="1" applyAlignment="1">
      <alignment horizontal="center" vertical="center" wrapText="1"/>
    </xf>
    <xf numFmtId="4" fontId="4" fillId="0" borderId="0" xfId="1" applyNumberFormat="1" applyAlignment="1">
      <alignment horizontal="center" vertical="center" wrapText="1"/>
    </xf>
    <xf numFmtId="1" fontId="4" fillId="0" borderId="0" xfId="1" applyNumberFormat="1" applyAlignment="1">
      <alignment horizontal="center" vertical="center" wrapText="1"/>
    </xf>
    <xf numFmtId="2" fontId="20" fillId="0" borderId="0" xfId="1" applyNumberFormat="1" applyFont="1"/>
    <xf numFmtId="2" fontId="8" fillId="0" borderId="0" xfId="1" applyNumberFormat="1" applyFont="1" applyAlignment="1">
      <alignment horizontal="right"/>
    </xf>
    <xf numFmtId="4" fontId="8" fillId="0" borderId="17" xfId="1" applyNumberFormat="1" applyFont="1" applyBorder="1" applyAlignment="1">
      <alignment horizontal="center"/>
    </xf>
    <xf numFmtId="4" fontId="8" fillId="0" borderId="0" xfId="1" applyNumberFormat="1" applyFont="1" applyAlignment="1">
      <alignment horizontal="center" vertical="center" wrapText="1"/>
    </xf>
    <xf numFmtId="1" fontId="8" fillId="0" borderId="0" xfId="1" applyNumberFormat="1" applyFont="1"/>
    <xf numFmtId="4" fontId="8" fillId="0" borderId="35" xfId="1" applyNumberFormat="1" applyFont="1" applyBorder="1" applyAlignment="1">
      <alignment horizontal="center" vertical="center" wrapText="1"/>
    </xf>
    <xf numFmtId="2" fontId="15" fillId="0" borderId="0" xfId="1" applyNumberFormat="1" applyFont="1" applyAlignment="1">
      <alignment vertical="center"/>
    </xf>
    <xf numFmtId="2" fontId="19" fillId="0" borderId="0" xfId="1" applyNumberFormat="1" applyFont="1" applyAlignment="1">
      <alignment vertical="center"/>
    </xf>
    <xf numFmtId="1" fontId="19" fillId="0" borderId="0" xfId="1" applyNumberFormat="1" applyFont="1" applyAlignment="1">
      <alignment horizontal="center" vertical="center"/>
    </xf>
    <xf numFmtId="1" fontId="4" fillId="0" borderId="17" xfId="1" applyNumberFormat="1" applyBorder="1" applyAlignment="1">
      <alignment horizontal="center" vertical="center"/>
    </xf>
    <xf numFmtId="4" fontId="4" fillId="0" borderId="17" xfId="1" applyNumberFormat="1" applyBorder="1" applyAlignment="1">
      <alignment horizontal="center" vertical="center"/>
    </xf>
    <xf numFmtId="3" fontId="4" fillId="0" borderId="17" xfId="1" applyNumberFormat="1" applyBorder="1" applyAlignment="1">
      <alignment horizontal="center" vertical="center" wrapText="1"/>
    </xf>
    <xf numFmtId="1" fontId="4" fillId="0" borderId="17" xfId="1" applyNumberFormat="1" applyBorder="1" applyAlignment="1">
      <alignment horizontal="center" vertical="center" wrapText="1"/>
    </xf>
    <xf numFmtId="2" fontId="8" fillId="9" borderId="17" xfId="1" applyNumberFormat="1" applyFont="1" applyFill="1" applyBorder="1" applyAlignment="1">
      <alignment horizontal="center" vertical="center" wrapText="1"/>
    </xf>
    <xf numFmtId="0" fontId="8" fillId="9" borderId="17" xfId="1" applyFont="1" applyFill="1" applyBorder="1" applyAlignment="1">
      <alignment horizontal="center" vertical="center" wrapText="1"/>
    </xf>
    <xf numFmtId="1" fontId="4" fillId="9" borderId="17" xfId="1" applyNumberFormat="1" applyFill="1" applyBorder="1" applyAlignment="1">
      <alignment horizontal="center" vertical="center" wrapText="1"/>
    </xf>
    <xf numFmtId="1" fontId="4" fillId="0" borderId="0" xfId="1" applyNumberFormat="1" applyAlignment="1">
      <alignment horizontal="center"/>
    </xf>
    <xf numFmtId="9" fontId="7" fillId="2" borderId="0" xfId="1" applyNumberFormat="1" applyFont="1" applyFill="1" applyAlignment="1">
      <alignment horizontal="center" vertical="center"/>
    </xf>
    <xf numFmtId="0" fontId="7" fillId="7" borderId="7" xfId="1" applyFont="1" applyFill="1" applyBorder="1" applyAlignment="1">
      <alignment horizontal="center" vertical="center" wrapText="1"/>
    </xf>
    <xf numFmtId="0" fontId="7" fillId="7" borderId="24" xfId="1" applyFont="1" applyFill="1" applyBorder="1" applyAlignment="1">
      <alignment horizontal="center" vertical="center" wrapText="1"/>
    </xf>
    <xf numFmtId="0" fontId="7" fillId="7" borderId="8" xfId="1" applyFont="1" applyFill="1" applyBorder="1" applyAlignment="1">
      <alignment horizontal="center" vertical="center" wrapText="1"/>
    </xf>
    <xf numFmtId="0" fontId="9" fillId="2" borderId="25" xfId="1" applyFont="1" applyFill="1" applyBorder="1" applyAlignment="1">
      <alignment horizontal="center" vertical="center"/>
    </xf>
    <xf numFmtId="0" fontId="9" fillId="2" borderId="26" xfId="1" applyFont="1" applyFill="1" applyBorder="1" applyAlignment="1">
      <alignment horizontal="center" vertical="center"/>
    </xf>
    <xf numFmtId="0" fontId="9" fillId="2" borderId="27" xfId="1" applyFont="1" applyFill="1" applyBorder="1" applyAlignment="1">
      <alignment horizontal="center" vertical="center"/>
    </xf>
    <xf numFmtId="0" fontId="9" fillId="2" borderId="30" xfId="1" applyFont="1" applyFill="1" applyBorder="1" applyAlignment="1">
      <alignment horizontal="center" vertical="center"/>
    </xf>
    <xf numFmtId="0" fontId="9" fillId="2" borderId="31" xfId="1" applyFont="1" applyFill="1" applyBorder="1" applyAlignment="1">
      <alignment horizontal="center" vertical="center"/>
    </xf>
    <xf numFmtId="0" fontId="9" fillId="2" borderId="32" xfId="1" applyFont="1" applyFill="1" applyBorder="1" applyAlignment="1">
      <alignment horizontal="center" vertical="center"/>
    </xf>
    <xf numFmtId="164" fontId="7" fillId="0" borderId="20" xfId="1" applyNumberFormat="1" applyFont="1" applyBorder="1" applyAlignment="1">
      <alignment horizontal="center" vertical="center"/>
    </xf>
    <xf numFmtId="164" fontId="7" fillId="0" borderId="13" xfId="1" applyNumberFormat="1" applyFont="1" applyBorder="1" applyAlignment="1">
      <alignment horizontal="center" vertical="center"/>
    </xf>
    <xf numFmtId="0" fontId="8" fillId="7" borderId="7" xfId="1" applyFont="1" applyFill="1" applyBorder="1" applyAlignment="1">
      <alignment horizontal="center"/>
    </xf>
    <xf numFmtId="0" fontId="8" fillId="7" borderId="24" xfId="1" applyFont="1" applyFill="1" applyBorder="1" applyAlignment="1">
      <alignment horizontal="center"/>
    </xf>
    <xf numFmtId="0" fontId="8" fillId="7" borderId="8" xfId="1" applyFont="1" applyFill="1" applyBorder="1" applyAlignment="1">
      <alignment horizontal="center"/>
    </xf>
    <xf numFmtId="9" fontId="3" fillId="0" borderId="20" xfId="1" applyNumberFormat="1" applyFont="1" applyBorder="1" applyAlignment="1">
      <alignment horizontal="center" vertical="center"/>
    </xf>
    <xf numFmtId="9" fontId="3" fillId="0" borderId="13" xfId="1" applyNumberFormat="1" applyFont="1" applyBorder="1" applyAlignment="1">
      <alignment horizontal="center" vertical="center"/>
    </xf>
    <xf numFmtId="164" fontId="7" fillId="0" borderId="21" xfId="1" applyNumberFormat="1" applyFont="1" applyBorder="1" applyAlignment="1">
      <alignment horizontal="center" vertical="center"/>
    </xf>
    <xf numFmtId="164" fontId="7" fillId="0" borderId="22" xfId="1" applyNumberFormat="1" applyFont="1" applyBorder="1" applyAlignment="1">
      <alignment horizontal="center" vertical="center"/>
    </xf>
    <xf numFmtId="0" fontId="7" fillId="7" borderId="2" xfId="1" applyFont="1" applyFill="1" applyBorder="1" applyAlignment="1">
      <alignment horizontal="center" vertical="center" wrapText="1"/>
    </xf>
    <xf numFmtId="0" fontId="7" fillId="7" borderId="4" xfId="1" applyFont="1" applyFill="1" applyBorder="1" applyAlignment="1">
      <alignment horizontal="center" vertical="center" wrapText="1"/>
    </xf>
    <xf numFmtId="0" fontId="7" fillId="7" borderId="5" xfId="1" applyFont="1" applyFill="1" applyBorder="1" applyAlignment="1">
      <alignment horizontal="center" vertical="center" wrapText="1"/>
    </xf>
    <xf numFmtId="0" fontId="7" fillId="7" borderId="6" xfId="1" applyFont="1" applyFill="1" applyBorder="1" applyAlignment="1">
      <alignment horizontal="center" vertical="center" wrapText="1"/>
    </xf>
    <xf numFmtId="0" fontId="7" fillId="7" borderId="9" xfId="1" applyFont="1" applyFill="1" applyBorder="1" applyAlignment="1">
      <alignment horizontal="center" vertical="center" wrapText="1"/>
    </xf>
    <xf numFmtId="0" fontId="7" fillId="7" borderId="3" xfId="1" applyFont="1" applyFill="1" applyBorder="1" applyAlignment="1">
      <alignment horizontal="center" vertical="center" wrapText="1"/>
    </xf>
    <xf numFmtId="0" fontId="7" fillId="7" borderId="10" xfId="1" applyFont="1" applyFill="1" applyBorder="1" applyAlignment="1">
      <alignment horizontal="center" vertical="center" wrapText="1"/>
    </xf>
    <xf numFmtId="4" fontId="7" fillId="7" borderId="3" xfId="1" applyNumberFormat="1" applyFont="1" applyFill="1" applyBorder="1" applyAlignment="1">
      <alignment horizontal="center" vertical="center" wrapText="1"/>
    </xf>
    <xf numFmtId="4" fontId="7" fillId="7" borderId="10" xfId="1" applyNumberFormat="1" applyFont="1" applyFill="1" applyBorder="1" applyAlignment="1">
      <alignment horizontal="center" vertical="center" wrapText="1"/>
    </xf>
    <xf numFmtId="4" fontId="7" fillId="7" borderId="4" xfId="1" applyNumberFormat="1" applyFont="1" applyFill="1" applyBorder="1" applyAlignment="1">
      <alignment horizontal="center" vertical="center" wrapText="1"/>
    </xf>
    <xf numFmtId="4" fontId="7" fillId="7" borderId="11" xfId="1" applyNumberFormat="1" applyFont="1" applyFill="1" applyBorder="1" applyAlignment="1">
      <alignment horizontal="center" vertical="center" wrapText="1"/>
    </xf>
    <xf numFmtId="4" fontId="5" fillId="2" borderId="17" xfId="1" applyNumberFormat="1" applyFont="1" applyFill="1" applyBorder="1" applyAlignment="1">
      <alignment horizontal="center" vertical="center" wrapText="1"/>
    </xf>
    <xf numFmtId="49" fontId="5" fillId="0" borderId="17" xfId="1" applyNumberFormat="1" applyFont="1" applyBorder="1" applyAlignment="1">
      <alignment horizontal="center" vertical="center" wrapText="1"/>
    </xf>
    <xf numFmtId="4" fontId="5" fillId="0" borderId="17" xfId="1" applyNumberFormat="1" applyFont="1" applyBorder="1" applyAlignment="1">
      <alignment horizontal="center" vertical="center" wrapText="1"/>
    </xf>
    <xf numFmtId="4" fontId="5" fillId="0" borderId="17" xfId="1" applyNumberFormat="1" applyFont="1" applyBorder="1" applyAlignment="1">
      <alignment horizontal="center" vertical="center"/>
    </xf>
    <xf numFmtId="4" fontId="5" fillId="2" borderId="33" xfId="1" applyNumberFormat="1" applyFont="1" applyFill="1" applyBorder="1" applyAlignment="1">
      <alignment horizontal="center" vertical="center"/>
    </xf>
    <xf numFmtId="4" fontId="5" fillId="2" borderId="34" xfId="1" applyNumberFormat="1" applyFont="1" applyFill="1" applyBorder="1" applyAlignment="1">
      <alignment horizontal="center" vertical="center"/>
    </xf>
    <xf numFmtId="4" fontId="5" fillId="2" borderId="35" xfId="1" applyNumberFormat="1" applyFont="1" applyFill="1" applyBorder="1" applyAlignment="1">
      <alignment horizontal="center" vertical="center"/>
    </xf>
    <xf numFmtId="4" fontId="5" fillId="2" borderId="17" xfId="1" applyNumberFormat="1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5" fillId="0" borderId="33" xfId="1" applyFont="1" applyBorder="1" applyAlignment="1">
      <alignment horizontal="center" vertical="center" wrapText="1"/>
    </xf>
    <xf numFmtId="0" fontId="5" fillId="0" borderId="34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49" fontId="5" fillId="2" borderId="17" xfId="1" applyNumberFormat="1" applyFont="1" applyFill="1" applyBorder="1" applyAlignment="1">
      <alignment horizontal="center" vertical="center" wrapText="1"/>
    </xf>
    <xf numFmtId="4" fontId="5" fillId="2" borderId="33" xfId="1" applyNumberFormat="1" applyFont="1" applyFill="1" applyBorder="1" applyAlignment="1">
      <alignment horizontal="center" vertical="center" wrapText="1"/>
    </xf>
    <xf numFmtId="4" fontId="5" fillId="2" borderId="34" xfId="1" applyNumberFormat="1" applyFont="1" applyFill="1" applyBorder="1" applyAlignment="1">
      <alignment horizontal="center" vertical="center" wrapText="1"/>
    </xf>
    <xf numFmtId="4" fontId="5" fillId="2" borderId="35" xfId="1" applyNumberFormat="1" applyFont="1" applyFill="1" applyBorder="1" applyAlignment="1">
      <alignment horizontal="center" vertical="center" wrapText="1"/>
    </xf>
    <xf numFmtId="4" fontId="5" fillId="0" borderId="33" xfId="1" applyNumberFormat="1" applyFont="1" applyBorder="1" applyAlignment="1">
      <alignment horizontal="center" vertical="center" wrapText="1"/>
    </xf>
    <xf numFmtId="4" fontId="5" fillId="0" borderId="34" xfId="1" applyNumberFormat="1" applyFont="1" applyBorder="1" applyAlignment="1">
      <alignment horizontal="center" vertical="center" wrapText="1"/>
    </xf>
    <xf numFmtId="4" fontId="5" fillId="0" borderId="35" xfId="1" applyNumberFormat="1" applyFont="1" applyBorder="1" applyAlignment="1">
      <alignment horizontal="center" vertical="center" wrapText="1"/>
    </xf>
    <xf numFmtId="3" fontId="5" fillId="0" borderId="33" xfId="1" applyNumberFormat="1" applyFont="1" applyBorder="1" applyAlignment="1">
      <alignment horizontal="center" vertical="center"/>
    </xf>
    <xf numFmtId="3" fontId="5" fillId="0" borderId="34" xfId="1" applyNumberFormat="1" applyFont="1" applyBorder="1" applyAlignment="1">
      <alignment horizontal="center" vertical="center"/>
    </xf>
    <xf numFmtId="3" fontId="5" fillId="0" borderId="35" xfId="1" applyNumberFormat="1" applyFont="1" applyBorder="1" applyAlignment="1">
      <alignment horizontal="center" vertical="center"/>
    </xf>
    <xf numFmtId="4" fontId="5" fillId="0" borderId="33" xfId="1" applyNumberFormat="1" applyFont="1" applyBorder="1" applyAlignment="1">
      <alignment horizontal="center" vertical="center"/>
    </xf>
    <xf numFmtId="4" fontId="5" fillId="0" borderId="34" xfId="1" applyNumberFormat="1" applyFont="1" applyBorder="1" applyAlignment="1">
      <alignment horizontal="center" vertical="center"/>
    </xf>
    <xf numFmtId="4" fontId="5" fillId="0" borderId="35" xfId="1" applyNumberFormat="1" applyFont="1" applyBorder="1" applyAlignment="1">
      <alignment horizontal="center" vertical="center"/>
    </xf>
    <xf numFmtId="0" fontId="4" fillId="9" borderId="37" xfId="1" applyFill="1" applyBorder="1" applyAlignment="1">
      <alignment horizontal="center" vertical="center" wrapText="1"/>
    </xf>
    <xf numFmtId="0" fontId="4" fillId="9" borderId="38" xfId="1" applyFill="1" applyBorder="1" applyAlignment="1">
      <alignment horizontal="center" vertical="center" wrapText="1"/>
    </xf>
    <xf numFmtId="4" fontId="4" fillId="0" borderId="17" xfId="1" applyNumberFormat="1" applyBorder="1" applyAlignment="1">
      <alignment horizontal="center" vertical="center" wrapText="1"/>
    </xf>
    <xf numFmtId="4" fontId="4" fillId="0" borderId="37" xfId="1" applyNumberFormat="1" applyBorder="1" applyAlignment="1">
      <alignment horizontal="left" vertical="center" wrapText="1"/>
    </xf>
    <xf numFmtId="4" fontId="4" fillId="0" borderId="38" xfId="1" applyNumberFormat="1" applyBorder="1" applyAlignment="1">
      <alignment horizontal="left" vertical="center" wrapText="1"/>
    </xf>
    <xf numFmtId="0" fontId="4" fillId="0" borderId="17" xfId="1" applyBorder="1" applyAlignment="1">
      <alignment horizontal="center" vertical="center" wrapText="1"/>
    </xf>
    <xf numFmtId="0" fontId="4" fillId="0" borderId="17" xfId="1" applyBorder="1" applyAlignment="1">
      <alignment horizontal="center" vertical="center"/>
    </xf>
    <xf numFmtId="4" fontId="4" fillId="0" borderId="17" xfId="1" applyNumberFormat="1" applyBorder="1" applyAlignment="1">
      <alignment horizontal="center" vertical="center"/>
    </xf>
    <xf numFmtId="4" fontId="4" fillId="2" borderId="17" xfId="1" applyNumberFormat="1" applyFill="1" applyBorder="1" applyAlignment="1">
      <alignment horizontal="center" vertical="center"/>
    </xf>
    <xf numFmtId="4" fontId="4" fillId="0" borderId="33" xfId="1" applyNumberFormat="1" applyBorder="1" applyAlignment="1">
      <alignment horizontal="center" vertical="center" wrapText="1"/>
    </xf>
    <xf numFmtId="4" fontId="4" fillId="0" borderId="34" xfId="1" applyNumberFormat="1" applyBorder="1" applyAlignment="1">
      <alignment horizontal="center" vertical="center" wrapText="1"/>
    </xf>
    <xf numFmtId="4" fontId="4" fillId="0" borderId="35" xfId="1" applyNumberFormat="1" applyBorder="1" applyAlignment="1">
      <alignment horizontal="center" vertical="center" wrapText="1"/>
    </xf>
    <xf numFmtId="2" fontId="4" fillId="2" borderId="17" xfId="1" applyNumberFormat="1" applyFill="1" applyBorder="1" applyAlignment="1">
      <alignment horizontal="center" vertical="center"/>
    </xf>
    <xf numFmtId="4" fontId="4" fillId="0" borderId="33" xfId="1" applyNumberFormat="1" applyBorder="1" applyAlignment="1">
      <alignment horizontal="center" vertical="center"/>
    </xf>
    <xf numFmtId="4" fontId="4" fillId="0" borderId="35" xfId="1" applyNumberFormat="1" applyBorder="1" applyAlignment="1">
      <alignment horizontal="center" vertical="center"/>
    </xf>
    <xf numFmtId="1" fontId="4" fillId="0" borderId="33" xfId="1" applyNumberFormat="1" applyBorder="1" applyAlignment="1">
      <alignment horizontal="center" vertical="center"/>
    </xf>
    <xf numFmtId="1" fontId="4" fillId="0" borderId="35" xfId="1" applyNumberFormat="1" applyBorder="1" applyAlignment="1">
      <alignment horizontal="center" vertical="center"/>
    </xf>
    <xf numFmtId="2" fontId="4" fillId="0" borderId="33" xfId="1" applyNumberFormat="1" applyBorder="1" applyAlignment="1">
      <alignment horizontal="center" vertical="center"/>
    </xf>
    <xf numFmtId="2" fontId="4" fillId="0" borderId="35" xfId="1" applyNumberFormat="1" applyBorder="1" applyAlignment="1">
      <alignment horizontal="center" vertical="center"/>
    </xf>
  </cellXfs>
  <cellStyles count="2">
    <cellStyle name="Normal" xfId="0" builtinId="0"/>
    <cellStyle name="Normal 2" xfId="1" xr:uid="{C6781540-4451-44F5-9776-63D6F2B419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19050</xdr:rowOff>
        </xdr:from>
        <xdr:to>
          <xdr:col>1</xdr:col>
          <xdr:colOff>676275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</xdr:row>
          <xdr:rowOff>76200</xdr:rowOff>
        </xdr:from>
        <xdr:to>
          <xdr:col>3</xdr:col>
          <xdr:colOff>304800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13</xdr:row>
      <xdr:rowOff>11690</xdr:rowOff>
    </xdr:from>
    <xdr:to>
      <xdr:col>23</xdr:col>
      <xdr:colOff>0</xdr:colOff>
      <xdr:row>40</xdr:row>
      <xdr:rowOff>140710</xdr:rowOff>
    </xdr:to>
    <xdr:sp macro="" textlink="">
      <xdr:nvSpPr>
        <xdr:cNvPr id="2575" name="Rectangle 2574">
          <a:extLst>
            <a:ext uri="{FF2B5EF4-FFF2-40B4-BE49-F238E27FC236}">
              <a16:creationId xmlns:a16="http://schemas.microsoft.com/office/drawing/2014/main" id="{B672356F-D1C5-0862-956B-4442821E3B34}"/>
            </a:ext>
          </a:extLst>
        </xdr:cNvPr>
        <xdr:cNvSpPr/>
      </xdr:nvSpPr>
      <xdr:spPr>
        <a:xfrm>
          <a:off x="2533650" y="2259590"/>
          <a:ext cx="7477125" cy="475817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51955</xdr:colOff>
      <xdr:row>13</xdr:row>
      <xdr:rowOff>11690</xdr:rowOff>
    </xdr:from>
    <xdr:to>
      <xdr:col>7</xdr:col>
      <xdr:colOff>106334</xdr:colOff>
      <xdr:row>13</xdr:row>
      <xdr:rowOff>66069</xdr:rowOff>
    </xdr:to>
    <xdr:sp macro="" textlink="">
      <xdr:nvSpPr>
        <xdr:cNvPr id="2576" name="Rectangle 2575">
          <a:extLst>
            <a:ext uri="{FF2B5EF4-FFF2-40B4-BE49-F238E27FC236}">
              <a16:creationId xmlns:a16="http://schemas.microsoft.com/office/drawing/2014/main" id="{416CC354-7496-0297-D278-51984620B060}"/>
            </a:ext>
          </a:extLst>
        </xdr:cNvPr>
        <xdr:cNvSpPr/>
      </xdr:nvSpPr>
      <xdr:spPr>
        <a:xfrm>
          <a:off x="3757180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51955</xdr:colOff>
      <xdr:row>23</xdr:row>
      <xdr:rowOff>64510</xdr:rowOff>
    </xdr:from>
    <xdr:to>
      <xdr:col>7</xdr:col>
      <xdr:colOff>106334</xdr:colOff>
      <xdr:row>23</xdr:row>
      <xdr:rowOff>118890</xdr:rowOff>
    </xdr:to>
    <xdr:sp macro="" textlink="">
      <xdr:nvSpPr>
        <xdr:cNvPr id="2577" name="Rectangle 2576">
          <a:extLst>
            <a:ext uri="{FF2B5EF4-FFF2-40B4-BE49-F238E27FC236}">
              <a16:creationId xmlns:a16="http://schemas.microsoft.com/office/drawing/2014/main" id="{2B0157D1-3005-B6C8-F721-11DD54F8DF44}"/>
            </a:ext>
          </a:extLst>
        </xdr:cNvPr>
        <xdr:cNvSpPr/>
      </xdr:nvSpPr>
      <xdr:spPr>
        <a:xfrm>
          <a:off x="3757180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304107</xdr:colOff>
      <xdr:row>13</xdr:row>
      <xdr:rowOff>11690</xdr:rowOff>
    </xdr:from>
    <xdr:to>
      <xdr:col>9</xdr:col>
      <xdr:colOff>358487</xdr:colOff>
      <xdr:row>13</xdr:row>
      <xdr:rowOff>66069</xdr:rowOff>
    </xdr:to>
    <xdr:sp macro="" textlink="">
      <xdr:nvSpPr>
        <xdr:cNvPr id="2578" name="Rectangle 2577">
          <a:extLst>
            <a:ext uri="{FF2B5EF4-FFF2-40B4-BE49-F238E27FC236}">
              <a16:creationId xmlns:a16="http://schemas.microsoft.com/office/drawing/2014/main" id="{C174D838-03FE-AF2E-C9AC-DDCE34FF47F8}"/>
            </a:ext>
          </a:extLst>
        </xdr:cNvPr>
        <xdr:cNvSpPr/>
      </xdr:nvSpPr>
      <xdr:spPr>
        <a:xfrm>
          <a:off x="4790382" y="2259590"/>
          <a:ext cx="54380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304107</xdr:colOff>
      <xdr:row>23</xdr:row>
      <xdr:rowOff>64510</xdr:rowOff>
    </xdr:from>
    <xdr:to>
      <xdr:col>9</xdr:col>
      <xdr:colOff>358487</xdr:colOff>
      <xdr:row>23</xdr:row>
      <xdr:rowOff>118890</xdr:rowOff>
    </xdr:to>
    <xdr:sp macro="" textlink="">
      <xdr:nvSpPr>
        <xdr:cNvPr id="2579" name="Rectangle 2578">
          <a:extLst>
            <a:ext uri="{FF2B5EF4-FFF2-40B4-BE49-F238E27FC236}">
              <a16:creationId xmlns:a16="http://schemas.microsoft.com/office/drawing/2014/main" id="{B85D56E0-29C0-B69E-93A4-72AF19490E2F}"/>
            </a:ext>
          </a:extLst>
        </xdr:cNvPr>
        <xdr:cNvSpPr/>
      </xdr:nvSpPr>
      <xdr:spPr>
        <a:xfrm>
          <a:off x="4790382" y="4026910"/>
          <a:ext cx="54380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192925</xdr:colOff>
      <xdr:row>13</xdr:row>
      <xdr:rowOff>11690</xdr:rowOff>
    </xdr:from>
    <xdr:to>
      <xdr:col>12</xdr:col>
      <xdr:colOff>247304</xdr:colOff>
      <xdr:row>13</xdr:row>
      <xdr:rowOff>66069</xdr:rowOff>
    </xdr:to>
    <xdr:sp macro="" textlink="">
      <xdr:nvSpPr>
        <xdr:cNvPr id="2580" name="Rectangle 2579">
          <a:extLst>
            <a:ext uri="{FF2B5EF4-FFF2-40B4-BE49-F238E27FC236}">
              <a16:creationId xmlns:a16="http://schemas.microsoft.com/office/drawing/2014/main" id="{279272BD-C29D-5052-5F9C-4A600CE7D8FB}"/>
            </a:ext>
          </a:extLst>
        </xdr:cNvPr>
        <xdr:cNvSpPr/>
      </xdr:nvSpPr>
      <xdr:spPr>
        <a:xfrm>
          <a:off x="5850775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192925</xdr:colOff>
      <xdr:row>23</xdr:row>
      <xdr:rowOff>64510</xdr:rowOff>
    </xdr:from>
    <xdr:to>
      <xdr:col>12</xdr:col>
      <xdr:colOff>247304</xdr:colOff>
      <xdr:row>23</xdr:row>
      <xdr:rowOff>118890</xdr:rowOff>
    </xdr:to>
    <xdr:sp macro="" textlink="">
      <xdr:nvSpPr>
        <xdr:cNvPr id="2581" name="Rectangle 2580">
          <a:extLst>
            <a:ext uri="{FF2B5EF4-FFF2-40B4-BE49-F238E27FC236}">
              <a16:creationId xmlns:a16="http://schemas.microsoft.com/office/drawing/2014/main" id="{E15F54D9-AF21-CAFD-D3DF-09C11E36E50F}"/>
            </a:ext>
          </a:extLst>
        </xdr:cNvPr>
        <xdr:cNvSpPr/>
      </xdr:nvSpPr>
      <xdr:spPr>
        <a:xfrm>
          <a:off x="5850775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54552</xdr:colOff>
      <xdr:row>13</xdr:row>
      <xdr:rowOff>11690</xdr:rowOff>
    </xdr:from>
    <xdr:to>
      <xdr:col>15</xdr:col>
      <xdr:colOff>108931</xdr:colOff>
      <xdr:row>13</xdr:row>
      <xdr:rowOff>66069</xdr:rowOff>
    </xdr:to>
    <xdr:sp macro="" textlink="">
      <xdr:nvSpPr>
        <xdr:cNvPr id="2582" name="Rectangle 2581">
          <a:extLst>
            <a:ext uri="{FF2B5EF4-FFF2-40B4-BE49-F238E27FC236}">
              <a16:creationId xmlns:a16="http://schemas.microsoft.com/office/drawing/2014/main" id="{1474B353-C76A-66B7-88F9-8485F939430F}"/>
            </a:ext>
          </a:extLst>
        </xdr:cNvPr>
        <xdr:cNvSpPr/>
      </xdr:nvSpPr>
      <xdr:spPr>
        <a:xfrm>
          <a:off x="6883977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54552</xdr:colOff>
      <xdr:row>23</xdr:row>
      <xdr:rowOff>64510</xdr:rowOff>
    </xdr:from>
    <xdr:to>
      <xdr:col>15</xdr:col>
      <xdr:colOff>108931</xdr:colOff>
      <xdr:row>23</xdr:row>
      <xdr:rowOff>118890</xdr:rowOff>
    </xdr:to>
    <xdr:sp macro="" textlink="">
      <xdr:nvSpPr>
        <xdr:cNvPr id="2583" name="Rectangle 2582">
          <a:extLst>
            <a:ext uri="{FF2B5EF4-FFF2-40B4-BE49-F238E27FC236}">
              <a16:creationId xmlns:a16="http://schemas.microsoft.com/office/drawing/2014/main" id="{A95640AC-3A65-8B2D-58D0-28E5E13A2479}"/>
            </a:ext>
          </a:extLst>
        </xdr:cNvPr>
        <xdr:cNvSpPr/>
      </xdr:nvSpPr>
      <xdr:spPr>
        <a:xfrm>
          <a:off x="6883977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306705</xdr:colOff>
      <xdr:row>13</xdr:row>
      <xdr:rowOff>11690</xdr:rowOff>
    </xdr:from>
    <xdr:to>
      <xdr:col>17</xdr:col>
      <xdr:colOff>361084</xdr:colOff>
      <xdr:row>13</xdr:row>
      <xdr:rowOff>66069</xdr:rowOff>
    </xdr:to>
    <xdr:sp macro="" textlink="">
      <xdr:nvSpPr>
        <xdr:cNvPr id="2584" name="Rectangle 2583">
          <a:extLst>
            <a:ext uri="{FF2B5EF4-FFF2-40B4-BE49-F238E27FC236}">
              <a16:creationId xmlns:a16="http://schemas.microsoft.com/office/drawing/2014/main" id="{266A7EE9-DCC5-D3EB-B90A-E9791BFA4AAE}"/>
            </a:ext>
          </a:extLst>
        </xdr:cNvPr>
        <xdr:cNvSpPr/>
      </xdr:nvSpPr>
      <xdr:spPr>
        <a:xfrm>
          <a:off x="7917180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306705</xdr:colOff>
      <xdr:row>23</xdr:row>
      <xdr:rowOff>64510</xdr:rowOff>
    </xdr:from>
    <xdr:to>
      <xdr:col>17</xdr:col>
      <xdr:colOff>361084</xdr:colOff>
      <xdr:row>23</xdr:row>
      <xdr:rowOff>118890</xdr:rowOff>
    </xdr:to>
    <xdr:sp macro="" textlink="">
      <xdr:nvSpPr>
        <xdr:cNvPr id="2585" name="Rectangle 2584">
          <a:extLst>
            <a:ext uri="{FF2B5EF4-FFF2-40B4-BE49-F238E27FC236}">
              <a16:creationId xmlns:a16="http://schemas.microsoft.com/office/drawing/2014/main" id="{B8FECD58-EE3D-5E57-1438-0E71D10DC815}"/>
            </a:ext>
          </a:extLst>
        </xdr:cNvPr>
        <xdr:cNvSpPr/>
      </xdr:nvSpPr>
      <xdr:spPr>
        <a:xfrm>
          <a:off x="7917180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13</xdr:row>
      <xdr:rowOff>11690</xdr:rowOff>
    </xdr:from>
    <xdr:to>
      <xdr:col>20</xdr:col>
      <xdr:colOff>222711</xdr:colOff>
      <xdr:row>13</xdr:row>
      <xdr:rowOff>66069</xdr:rowOff>
    </xdr:to>
    <xdr:sp macro="" textlink="">
      <xdr:nvSpPr>
        <xdr:cNvPr id="2586" name="Rectangle 2585">
          <a:extLst>
            <a:ext uri="{FF2B5EF4-FFF2-40B4-BE49-F238E27FC236}">
              <a16:creationId xmlns:a16="http://schemas.microsoft.com/office/drawing/2014/main" id="{57117825-DD49-0565-5790-CFF2E6BF5726}"/>
            </a:ext>
          </a:extLst>
        </xdr:cNvPr>
        <xdr:cNvSpPr/>
      </xdr:nvSpPr>
      <xdr:spPr>
        <a:xfrm>
          <a:off x="8950382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23</xdr:row>
      <xdr:rowOff>64510</xdr:rowOff>
    </xdr:from>
    <xdr:to>
      <xdr:col>20</xdr:col>
      <xdr:colOff>222711</xdr:colOff>
      <xdr:row>23</xdr:row>
      <xdr:rowOff>118890</xdr:rowOff>
    </xdr:to>
    <xdr:sp macro="" textlink="">
      <xdr:nvSpPr>
        <xdr:cNvPr id="2587" name="Rectangle 2586">
          <a:extLst>
            <a:ext uri="{FF2B5EF4-FFF2-40B4-BE49-F238E27FC236}">
              <a16:creationId xmlns:a16="http://schemas.microsoft.com/office/drawing/2014/main" id="{FD369E7E-48A6-25CE-53BE-5BB40C0761C7}"/>
            </a:ext>
          </a:extLst>
        </xdr:cNvPr>
        <xdr:cNvSpPr/>
      </xdr:nvSpPr>
      <xdr:spPr>
        <a:xfrm>
          <a:off x="8950382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13</xdr:row>
      <xdr:rowOff>11690</xdr:rowOff>
    </xdr:from>
    <xdr:to>
      <xdr:col>23</xdr:col>
      <xdr:colOff>0</xdr:colOff>
      <xdr:row>13</xdr:row>
      <xdr:rowOff>66069</xdr:rowOff>
    </xdr:to>
    <xdr:sp macro="" textlink="">
      <xdr:nvSpPr>
        <xdr:cNvPr id="2588" name="Rectangle 2587">
          <a:extLst>
            <a:ext uri="{FF2B5EF4-FFF2-40B4-BE49-F238E27FC236}">
              <a16:creationId xmlns:a16="http://schemas.microsoft.com/office/drawing/2014/main" id="{21E3617A-0017-4D9A-7E8F-634E7B0CB8B8}"/>
            </a:ext>
          </a:extLst>
        </xdr:cNvPr>
        <xdr:cNvSpPr/>
      </xdr:nvSpPr>
      <xdr:spPr>
        <a:xfrm>
          <a:off x="9956396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23</xdr:row>
      <xdr:rowOff>64510</xdr:rowOff>
    </xdr:from>
    <xdr:to>
      <xdr:col>23</xdr:col>
      <xdr:colOff>0</xdr:colOff>
      <xdr:row>23</xdr:row>
      <xdr:rowOff>118890</xdr:rowOff>
    </xdr:to>
    <xdr:sp macro="" textlink="">
      <xdr:nvSpPr>
        <xdr:cNvPr id="2589" name="Rectangle 2588">
          <a:extLst>
            <a:ext uri="{FF2B5EF4-FFF2-40B4-BE49-F238E27FC236}">
              <a16:creationId xmlns:a16="http://schemas.microsoft.com/office/drawing/2014/main" id="{A14118AC-EB65-3E8B-9A7C-CE4129113866}"/>
            </a:ext>
          </a:extLst>
        </xdr:cNvPr>
        <xdr:cNvSpPr/>
      </xdr:nvSpPr>
      <xdr:spPr>
        <a:xfrm>
          <a:off x="9956396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29</xdr:row>
      <xdr:rowOff>150582</xdr:rowOff>
    </xdr:from>
    <xdr:to>
      <xdr:col>20</xdr:col>
      <xdr:colOff>222711</xdr:colOff>
      <xdr:row>30</xdr:row>
      <xdr:rowOff>33511</xdr:rowOff>
    </xdr:to>
    <xdr:sp macro="" textlink="">
      <xdr:nvSpPr>
        <xdr:cNvPr id="2590" name="Rectangle 2589">
          <a:extLst>
            <a:ext uri="{FF2B5EF4-FFF2-40B4-BE49-F238E27FC236}">
              <a16:creationId xmlns:a16="http://schemas.microsoft.com/office/drawing/2014/main" id="{610EAC5C-E2DC-40D5-C593-24C2FE107573}"/>
            </a:ext>
          </a:extLst>
        </xdr:cNvPr>
        <xdr:cNvSpPr/>
      </xdr:nvSpPr>
      <xdr:spPr>
        <a:xfrm>
          <a:off x="8950382" y="5141682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29</xdr:row>
      <xdr:rowOff>150582</xdr:rowOff>
    </xdr:from>
    <xdr:to>
      <xdr:col>23</xdr:col>
      <xdr:colOff>0</xdr:colOff>
      <xdr:row>30</xdr:row>
      <xdr:rowOff>33511</xdr:rowOff>
    </xdr:to>
    <xdr:sp macro="" textlink="">
      <xdr:nvSpPr>
        <xdr:cNvPr id="2591" name="Rectangle 2590">
          <a:extLst>
            <a:ext uri="{FF2B5EF4-FFF2-40B4-BE49-F238E27FC236}">
              <a16:creationId xmlns:a16="http://schemas.microsoft.com/office/drawing/2014/main" id="{E067407A-E944-E9AB-0BC0-E72C3B22A2D4}"/>
            </a:ext>
          </a:extLst>
        </xdr:cNvPr>
        <xdr:cNvSpPr/>
      </xdr:nvSpPr>
      <xdr:spPr>
        <a:xfrm>
          <a:off x="9956396" y="5141682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34</xdr:row>
      <xdr:rowOff>54639</xdr:rowOff>
    </xdr:from>
    <xdr:to>
      <xdr:col>20</xdr:col>
      <xdr:colOff>222711</xdr:colOff>
      <xdr:row>34</xdr:row>
      <xdr:rowOff>109018</xdr:rowOff>
    </xdr:to>
    <xdr:sp macro="" textlink="">
      <xdr:nvSpPr>
        <xdr:cNvPr id="2592" name="Rectangle 2591">
          <a:extLst>
            <a:ext uri="{FF2B5EF4-FFF2-40B4-BE49-F238E27FC236}">
              <a16:creationId xmlns:a16="http://schemas.microsoft.com/office/drawing/2014/main" id="{EAC03862-0ACB-CD67-6488-80C7A45141CF}"/>
            </a:ext>
          </a:extLst>
        </xdr:cNvPr>
        <xdr:cNvSpPr/>
      </xdr:nvSpPr>
      <xdr:spPr>
        <a:xfrm>
          <a:off x="8950382" y="5902989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34</xdr:row>
      <xdr:rowOff>54639</xdr:rowOff>
    </xdr:from>
    <xdr:to>
      <xdr:col>23</xdr:col>
      <xdr:colOff>0</xdr:colOff>
      <xdr:row>34</xdr:row>
      <xdr:rowOff>109018</xdr:rowOff>
    </xdr:to>
    <xdr:sp macro="" textlink="">
      <xdr:nvSpPr>
        <xdr:cNvPr id="2593" name="Rectangle 2592">
          <a:extLst>
            <a:ext uri="{FF2B5EF4-FFF2-40B4-BE49-F238E27FC236}">
              <a16:creationId xmlns:a16="http://schemas.microsoft.com/office/drawing/2014/main" id="{524000D2-D93E-758B-02C1-5E99F984806D}"/>
            </a:ext>
          </a:extLst>
        </xdr:cNvPr>
        <xdr:cNvSpPr/>
      </xdr:nvSpPr>
      <xdr:spPr>
        <a:xfrm>
          <a:off x="9956396" y="5902989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40</xdr:row>
      <xdr:rowOff>86331</xdr:rowOff>
    </xdr:from>
    <xdr:to>
      <xdr:col>20</xdr:col>
      <xdr:colOff>222711</xdr:colOff>
      <xdr:row>40</xdr:row>
      <xdr:rowOff>140710</xdr:rowOff>
    </xdr:to>
    <xdr:sp macro="" textlink="">
      <xdr:nvSpPr>
        <xdr:cNvPr id="2594" name="Rectangle 2593">
          <a:extLst>
            <a:ext uri="{FF2B5EF4-FFF2-40B4-BE49-F238E27FC236}">
              <a16:creationId xmlns:a16="http://schemas.microsoft.com/office/drawing/2014/main" id="{D558DF97-239C-A978-B933-74A1FB581902}"/>
            </a:ext>
          </a:extLst>
        </xdr:cNvPr>
        <xdr:cNvSpPr/>
      </xdr:nvSpPr>
      <xdr:spPr>
        <a:xfrm>
          <a:off x="8950382" y="6963381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40</xdr:row>
      <xdr:rowOff>86331</xdr:rowOff>
    </xdr:from>
    <xdr:to>
      <xdr:col>23</xdr:col>
      <xdr:colOff>0</xdr:colOff>
      <xdr:row>40</xdr:row>
      <xdr:rowOff>140710</xdr:rowOff>
    </xdr:to>
    <xdr:sp macro="" textlink="">
      <xdr:nvSpPr>
        <xdr:cNvPr id="2595" name="Rectangle 2594">
          <a:extLst>
            <a:ext uri="{FF2B5EF4-FFF2-40B4-BE49-F238E27FC236}">
              <a16:creationId xmlns:a16="http://schemas.microsoft.com/office/drawing/2014/main" id="{666673E7-171F-C3E8-1531-A44B41784084}"/>
            </a:ext>
          </a:extLst>
        </xdr:cNvPr>
        <xdr:cNvSpPr/>
      </xdr:nvSpPr>
      <xdr:spPr>
        <a:xfrm>
          <a:off x="9956396" y="6963381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51955</xdr:colOff>
      <xdr:row>13</xdr:row>
      <xdr:rowOff>66069</xdr:rowOff>
    </xdr:from>
    <xdr:to>
      <xdr:col>7</xdr:col>
      <xdr:colOff>106334</xdr:colOff>
      <xdr:row>23</xdr:row>
      <xdr:rowOff>64510</xdr:rowOff>
    </xdr:to>
    <xdr:sp macro="" textlink="">
      <xdr:nvSpPr>
        <xdr:cNvPr id="2596" name="Rectangle 2595">
          <a:extLst>
            <a:ext uri="{FF2B5EF4-FFF2-40B4-BE49-F238E27FC236}">
              <a16:creationId xmlns:a16="http://schemas.microsoft.com/office/drawing/2014/main" id="{F1939E04-FE1C-7634-D409-0A04E63EEEFE}"/>
            </a:ext>
          </a:extLst>
        </xdr:cNvPr>
        <xdr:cNvSpPr/>
      </xdr:nvSpPr>
      <xdr:spPr>
        <a:xfrm>
          <a:off x="3757180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304107</xdr:colOff>
      <xdr:row>13</xdr:row>
      <xdr:rowOff>66069</xdr:rowOff>
    </xdr:from>
    <xdr:to>
      <xdr:col>9</xdr:col>
      <xdr:colOff>358487</xdr:colOff>
      <xdr:row>23</xdr:row>
      <xdr:rowOff>64510</xdr:rowOff>
    </xdr:to>
    <xdr:sp macro="" textlink="">
      <xdr:nvSpPr>
        <xdr:cNvPr id="2597" name="Rectangle 2596">
          <a:extLst>
            <a:ext uri="{FF2B5EF4-FFF2-40B4-BE49-F238E27FC236}">
              <a16:creationId xmlns:a16="http://schemas.microsoft.com/office/drawing/2014/main" id="{22A4A600-B5D7-76D6-750E-0241F65FCA7F}"/>
            </a:ext>
          </a:extLst>
        </xdr:cNvPr>
        <xdr:cNvSpPr/>
      </xdr:nvSpPr>
      <xdr:spPr>
        <a:xfrm>
          <a:off x="4790382" y="2313969"/>
          <a:ext cx="54380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192925</xdr:colOff>
      <xdr:row>13</xdr:row>
      <xdr:rowOff>66069</xdr:rowOff>
    </xdr:from>
    <xdr:to>
      <xdr:col>12</xdr:col>
      <xdr:colOff>247304</xdr:colOff>
      <xdr:row>23</xdr:row>
      <xdr:rowOff>64510</xdr:rowOff>
    </xdr:to>
    <xdr:sp macro="" textlink="">
      <xdr:nvSpPr>
        <xdr:cNvPr id="2598" name="Rectangle 2597">
          <a:extLst>
            <a:ext uri="{FF2B5EF4-FFF2-40B4-BE49-F238E27FC236}">
              <a16:creationId xmlns:a16="http://schemas.microsoft.com/office/drawing/2014/main" id="{8D0BDC05-ACEF-C137-7AA0-42D378815681}"/>
            </a:ext>
          </a:extLst>
        </xdr:cNvPr>
        <xdr:cNvSpPr/>
      </xdr:nvSpPr>
      <xdr:spPr>
        <a:xfrm>
          <a:off x="5850775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54552</xdr:colOff>
      <xdr:row>13</xdr:row>
      <xdr:rowOff>66069</xdr:rowOff>
    </xdr:from>
    <xdr:to>
      <xdr:col>15</xdr:col>
      <xdr:colOff>108931</xdr:colOff>
      <xdr:row>23</xdr:row>
      <xdr:rowOff>64510</xdr:rowOff>
    </xdr:to>
    <xdr:sp macro="" textlink="">
      <xdr:nvSpPr>
        <xdr:cNvPr id="2599" name="Rectangle 2598">
          <a:extLst>
            <a:ext uri="{FF2B5EF4-FFF2-40B4-BE49-F238E27FC236}">
              <a16:creationId xmlns:a16="http://schemas.microsoft.com/office/drawing/2014/main" id="{4078D65A-C738-F176-24A7-AD908F222E9F}"/>
            </a:ext>
          </a:extLst>
        </xdr:cNvPr>
        <xdr:cNvSpPr/>
      </xdr:nvSpPr>
      <xdr:spPr>
        <a:xfrm>
          <a:off x="6883977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306705</xdr:colOff>
      <xdr:row>13</xdr:row>
      <xdr:rowOff>66069</xdr:rowOff>
    </xdr:from>
    <xdr:to>
      <xdr:col>17</xdr:col>
      <xdr:colOff>361084</xdr:colOff>
      <xdr:row>23</xdr:row>
      <xdr:rowOff>64510</xdr:rowOff>
    </xdr:to>
    <xdr:sp macro="" textlink="">
      <xdr:nvSpPr>
        <xdr:cNvPr id="2600" name="Rectangle 2599">
          <a:extLst>
            <a:ext uri="{FF2B5EF4-FFF2-40B4-BE49-F238E27FC236}">
              <a16:creationId xmlns:a16="http://schemas.microsoft.com/office/drawing/2014/main" id="{B2232CF6-DEB2-150C-3242-6F538FFADBFC}"/>
            </a:ext>
          </a:extLst>
        </xdr:cNvPr>
        <xdr:cNvSpPr/>
      </xdr:nvSpPr>
      <xdr:spPr>
        <a:xfrm>
          <a:off x="7917180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13</xdr:row>
      <xdr:rowOff>66069</xdr:rowOff>
    </xdr:from>
    <xdr:to>
      <xdr:col>20</xdr:col>
      <xdr:colOff>222711</xdr:colOff>
      <xdr:row>23</xdr:row>
      <xdr:rowOff>64510</xdr:rowOff>
    </xdr:to>
    <xdr:sp macro="" textlink="">
      <xdr:nvSpPr>
        <xdr:cNvPr id="2601" name="Rectangle 2600">
          <a:extLst>
            <a:ext uri="{FF2B5EF4-FFF2-40B4-BE49-F238E27FC236}">
              <a16:creationId xmlns:a16="http://schemas.microsoft.com/office/drawing/2014/main" id="{1CF25243-396B-0412-327F-5E52686952C8}"/>
            </a:ext>
          </a:extLst>
        </xdr:cNvPr>
        <xdr:cNvSpPr/>
      </xdr:nvSpPr>
      <xdr:spPr>
        <a:xfrm>
          <a:off x="8950382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13</xdr:row>
      <xdr:rowOff>66069</xdr:rowOff>
    </xdr:from>
    <xdr:to>
      <xdr:col>23</xdr:col>
      <xdr:colOff>0</xdr:colOff>
      <xdr:row>23</xdr:row>
      <xdr:rowOff>64510</xdr:rowOff>
    </xdr:to>
    <xdr:sp macro="" textlink="">
      <xdr:nvSpPr>
        <xdr:cNvPr id="2602" name="Rectangle 2601">
          <a:extLst>
            <a:ext uri="{FF2B5EF4-FFF2-40B4-BE49-F238E27FC236}">
              <a16:creationId xmlns:a16="http://schemas.microsoft.com/office/drawing/2014/main" id="{73F47E75-F575-27F0-1AA4-628133E60709}"/>
            </a:ext>
          </a:extLst>
        </xdr:cNvPr>
        <xdr:cNvSpPr/>
      </xdr:nvSpPr>
      <xdr:spPr>
        <a:xfrm>
          <a:off x="9956396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106334</xdr:colOff>
      <xdr:row>13</xdr:row>
      <xdr:rowOff>11690</xdr:rowOff>
    </xdr:from>
    <xdr:to>
      <xdr:col>9</xdr:col>
      <xdr:colOff>331297</xdr:colOff>
      <xdr:row>13</xdr:row>
      <xdr:rowOff>66069</xdr:rowOff>
    </xdr:to>
    <xdr:sp macro="" textlink="">
      <xdr:nvSpPr>
        <xdr:cNvPr id="2603" name="Rectangle 2602">
          <a:extLst>
            <a:ext uri="{FF2B5EF4-FFF2-40B4-BE49-F238E27FC236}">
              <a16:creationId xmlns:a16="http://schemas.microsoft.com/office/drawing/2014/main" id="{8A5F8EB0-32A4-EBCC-1D6F-93A4A76F1614}"/>
            </a:ext>
          </a:extLst>
        </xdr:cNvPr>
        <xdr:cNvSpPr/>
      </xdr:nvSpPr>
      <xdr:spPr>
        <a:xfrm>
          <a:off x="3811559" y="2259590"/>
          <a:ext cx="1006013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106334</xdr:colOff>
      <xdr:row>23</xdr:row>
      <xdr:rowOff>64510</xdr:rowOff>
    </xdr:from>
    <xdr:to>
      <xdr:col>9</xdr:col>
      <xdr:colOff>331297</xdr:colOff>
      <xdr:row>23</xdr:row>
      <xdr:rowOff>118890</xdr:rowOff>
    </xdr:to>
    <xdr:sp macro="" textlink="">
      <xdr:nvSpPr>
        <xdr:cNvPr id="2604" name="Rectangle 2603">
          <a:extLst>
            <a:ext uri="{FF2B5EF4-FFF2-40B4-BE49-F238E27FC236}">
              <a16:creationId xmlns:a16="http://schemas.microsoft.com/office/drawing/2014/main" id="{433BDD03-CDF0-9F06-AD89-EE3D35754EA9}"/>
            </a:ext>
          </a:extLst>
        </xdr:cNvPr>
        <xdr:cNvSpPr/>
      </xdr:nvSpPr>
      <xdr:spPr>
        <a:xfrm>
          <a:off x="3811559" y="4026910"/>
          <a:ext cx="1006013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358486</xdr:colOff>
      <xdr:row>13</xdr:row>
      <xdr:rowOff>11690</xdr:rowOff>
    </xdr:from>
    <xdr:to>
      <xdr:col>12</xdr:col>
      <xdr:colOff>192925</xdr:colOff>
      <xdr:row>13</xdr:row>
      <xdr:rowOff>66069</xdr:rowOff>
    </xdr:to>
    <xdr:sp macro="" textlink="">
      <xdr:nvSpPr>
        <xdr:cNvPr id="2605" name="Rectangle 2604">
          <a:extLst>
            <a:ext uri="{FF2B5EF4-FFF2-40B4-BE49-F238E27FC236}">
              <a16:creationId xmlns:a16="http://schemas.microsoft.com/office/drawing/2014/main" id="{3EE2DAFD-37BB-B2C8-E777-1F17FFC58F91}"/>
            </a:ext>
          </a:extLst>
        </xdr:cNvPr>
        <xdr:cNvSpPr/>
      </xdr:nvSpPr>
      <xdr:spPr>
        <a:xfrm>
          <a:off x="4844761" y="2259590"/>
          <a:ext cx="100601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358486</xdr:colOff>
      <xdr:row>23</xdr:row>
      <xdr:rowOff>64510</xdr:rowOff>
    </xdr:from>
    <xdr:to>
      <xdr:col>12</xdr:col>
      <xdr:colOff>192925</xdr:colOff>
      <xdr:row>23</xdr:row>
      <xdr:rowOff>118890</xdr:rowOff>
    </xdr:to>
    <xdr:sp macro="" textlink="">
      <xdr:nvSpPr>
        <xdr:cNvPr id="2606" name="Rectangle 2605">
          <a:extLst>
            <a:ext uri="{FF2B5EF4-FFF2-40B4-BE49-F238E27FC236}">
              <a16:creationId xmlns:a16="http://schemas.microsoft.com/office/drawing/2014/main" id="{15175A8B-5970-7D2A-76FF-94DFF9D2037E}"/>
            </a:ext>
          </a:extLst>
        </xdr:cNvPr>
        <xdr:cNvSpPr/>
      </xdr:nvSpPr>
      <xdr:spPr>
        <a:xfrm>
          <a:off x="4844761" y="4026910"/>
          <a:ext cx="1006014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247304</xdr:colOff>
      <xdr:row>13</xdr:row>
      <xdr:rowOff>11690</xdr:rowOff>
    </xdr:from>
    <xdr:to>
      <xdr:col>15</xdr:col>
      <xdr:colOff>54552</xdr:colOff>
      <xdr:row>13</xdr:row>
      <xdr:rowOff>66069</xdr:rowOff>
    </xdr:to>
    <xdr:sp macro="" textlink="">
      <xdr:nvSpPr>
        <xdr:cNvPr id="2607" name="Rectangle 2606">
          <a:extLst>
            <a:ext uri="{FF2B5EF4-FFF2-40B4-BE49-F238E27FC236}">
              <a16:creationId xmlns:a16="http://schemas.microsoft.com/office/drawing/2014/main" id="{00123931-6A7A-B732-0FB2-25274137F4F0}"/>
            </a:ext>
          </a:extLst>
        </xdr:cNvPr>
        <xdr:cNvSpPr/>
      </xdr:nvSpPr>
      <xdr:spPr>
        <a:xfrm>
          <a:off x="5905154" y="2259590"/>
          <a:ext cx="978823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247304</xdr:colOff>
      <xdr:row>23</xdr:row>
      <xdr:rowOff>64510</xdr:rowOff>
    </xdr:from>
    <xdr:to>
      <xdr:col>15</xdr:col>
      <xdr:colOff>54552</xdr:colOff>
      <xdr:row>23</xdr:row>
      <xdr:rowOff>118890</xdr:rowOff>
    </xdr:to>
    <xdr:sp macro="" textlink="">
      <xdr:nvSpPr>
        <xdr:cNvPr id="2608" name="Rectangle 2607">
          <a:extLst>
            <a:ext uri="{FF2B5EF4-FFF2-40B4-BE49-F238E27FC236}">
              <a16:creationId xmlns:a16="http://schemas.microsoft.com/office/drawing/2014/main" id="{D458EA72-E0AD-03AE-6A0E-1947DD0FE348}"/>
            </a:ext>
          </a:extLst>
        </xdr:cNvPr>
        <xdr:cNvSpPr/>
      </xdr:nvSpPr>
      <xdr:spPr>
        <a:xfrm>
          <a:off x="5905154" y="4026910"/>
          <a:ext cx="978823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108931</xdr:colOff>
      <xdr:row>13</xdr:row>
      <xdr:rowOff>11690</xdr:rowOff>
    </xdr:from>
    <xdr:to>
      <xdr:col>17</xdr:col>
      <xdr:colOff>306705</xdr:colOff>
      <xdr:row>13</xdr:row>
      <xdr:rowOff>66069</xdr:rowOff>
    </xdr:to>
    <xdr:sp macro="" textlink="">
      <xdr:nvSpPr>
        <xdr:cNvPr id="2609" name="Rectangle 2608">
          <a:extLst>
            <a:ext uri="{FF2B5EF4-FFF2-40B4-BE49-F238E27FC236}">
              <a16:creationId xmlns:a16="http://schemas.microsoft.com/office/drawing/2014/main" id="{D73DDB79-CCCC-252B-4D74-A86462127263}"/>
            </a:ext>
          </a:extLst>
        </xdr:cNvPr>
        <xdr:cNvSpPr/>
      </xdr:nvSpPr>
      <xdr:spPr>
        <a:xfrm>
          <a:off x="6938356" y="2259590"/>
          <a:ext cx="97882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108931</xdr:colOff>
      <xdr:row>23</xdr:row>
      <xdr:rowOff>64510</xdr:rowOff>
    </xdr:from>
    <xdr:to>
      <xdr:col>17</xdr:col>
      <xdr:colOff>306705</xdr:colOff>
      <xdr:row>23</xdr:row>
      <xdr:rowOff>118890</xdr:rowOff>
    </xdr:to>
    <xdr:sp macro="" textlink="">
      <xdr:nvSpPr>
        <xdr:cNvPr id="2610" name="Rectangle 2609">
          <a:extLst>
            <a:ext uri="{FF2B5EF4-FFF2-40B4-BE49-F238E27FC236}">
              <a16:creationId xmlns:a16="http://schemas.microsoft.com/office/drawing/2014/main" id="{78247434-0F92-61B6-DB01-A8D11D6B7E20}"/>
            </a:ext>
          </a:extLst>
        </xdr:cNvPr>
        <xdr:cNvSpPr/>
      </xdr:nvSpPr>
      <xdr:spPr>
        <a:xfrm>
          <a:off x="6938356" y="4026910"/>
          <a:ext cx="978824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361084</xdr:colOff>
      <xdr:row>13</xdr:row>
      <xdr:rowOff>11690</xdr:rowOff>
    </xdr:from>
    <xdr:to>
      <xdr:col>20</xdr:col>
      <xdr:colOff>168333</xdr:colOff>
      <xdr:row>13</xdr:row>
      <xdr:rowOff>66069</xdr:rowOff>
    </xdr:to>
    <xdr:sp macro="" textlink="">
      <xdr:nvSpPr>
        <xdr:cNvPr id="2611" name="Rectangle 2610">
          <a:extLst>
            <a:ext uri="{FF2B5EF4-FFF2-40B4-BE49-F238E27FC236}">
              <a16:creationId xmlns:a16="http://schemas.microsoft.com/office/drawing/2014/main" id="{F4146F1A-0C6B-E8F5-D998-8AA9E6D47D74}"/>
            </a:ext>
          </a:extLst>
        </xdr:cNvPr>
        <xdr:cNvSpPr/>
      </xdr:nvSpPr>
      <xdr:spPr>
        <a:xfrm>
          <a:off x="7971559" y="2259590"/>
          <a:ext cx="97882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361084</xdr:colOff>
      <xdr:row>23</xdr:row>
      <xdr:rowOff>64510</xdr:rowOff>
    </xdr:from>
    <xdr:to>
      <xdr:col>20</xdr:col>
      <xdr:colOff>168333</xdr:colOff>
      <xdr:row>23</xdr:row>
      <xdr:rowOff>118890</xdr:rowOff>
    </xdr:to>
    <xdr:sp macro="" textlink="">
      <xdr:nvSpPr>
        <xdr:cNvPr id="2612" name="Rectangle 2611">
          <a:extLst>
            <a:ext uri="{FF2B5EF4-FFF2-40B4-BE49-F238E27FC236}">
              <a16:creationId xmlns:a16="http://schemas.microsoft.com/office/drawing/2014/main" id="{CC3E1C36-5595-07AF-7E78-FDC0F9D6A732}"/>
            </a:ext>
          </a:extLst>
        </xdr:cNvPr>
        <xdr:cNvSpPr/>
      </xdr:nvSpPr>
      <xdr:spPr>
        <a:xfrm>
          <a:off x="7971559" y="4026910"/>
          <a:ext cx="978824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222712</xdr:colOff>
      <xdr:row>13</xdr:row>
      <xdr:rowOff>11690</xdr:rowOff>
    </xdr:from>
    <xdr:to>
      <xdr:col>22</xdr:col>
      <xdr:colOff>355196</xdr:colOff>
      <xdr:row>13</xdr:row>
      <xdr:rowOff>66069</xdr:rowOff>
    </xdr:to>
    <xdr:sp macro="" textlink="">
      <xdr:nvSpPr>
        <xdr:cNvPr id="2613" name="Rectangle 2612">
          <a:extLst>
            <a:ext uri="{FF2B5EF4-FFF2-40B4-BE49-F238E27FC236}">
              <a16:creationId xmlns:a16="http://schemas.microsoft.com/office/drawing/2014/main" id="{01A32E10-4970-EFA1-9711-6E070FC491EA}"/>
            </a:ext>
          </a:extLst>
        </xdr:cNvPr>
        <xdr:cNvSpPr/>
      </xdr:nvSpPr>
      <xdr:spPr>
        <a:xfrm>
          <a:off x="9004762" y="2259590"/>
          <a:ext cx="95163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222712</xdr:colOff>
      <xdr:row>23</xdr:row>
      <xdr:rowOff>64510</xdr:rowOff>
    </xdr:from>
    <xdr:to>
      <xdr:col>22</xdr:col>
      <xdr:colOff>355196</xdr:colOff>
      <xdr:row>23</xdr:row>
      <xdr:rowOff>118890</xdr:rowOff>
    </xdr:to>
    <xdr:sp macro="" textlink="">
      <xdr:nvSpPr>
        <xdr:cNvPr id="2614" name="Rectangle 2613">
          <a:extLst>
            <a:ext uri="{FF2B5EF4-FFF2-40B4-BE49-F238E27FC236}">
              <a16:creationId xmlns:a16="http://schemas.microsoft.com/office/drawing/2014/main" id="{CBA2C8F4-4721-B6A5-192A-25336BD400F5}"/>
            </a:ext>
          </a:extLst>
        </xdr:cNvPr>
        <xdr:cNvSpPr/>
      </xdr:nvSpPr>
      <xdr:spPr>
        <a:xfrm>
          <a:off x="9004762" y="4026910"/>
          <a:ext cx="951634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23</xdr:row>
      <xdr:rowOff>123969</xdr:rowOff>
    </xdr:from>
    <xdr:to>
      <xdr:col>20</xdr:col>
      <xdr:colOff>222711</xdr:colOff>
      <xdr:row>29</xdr:row>
      <xdr:rowOff>155661</xdr:rowOff>
    </xdr:to>
    <xdr:sp macro="" textlink="">
      <xdr:nvSpPr>
        <xdr:cNvPr id="2615" name="Rectangle 2614">
          <a:extLst>
            <a:ext uri="{FF2B5EF4-FFF2-40B4-BE49-F238E27FC236}">
              <a16:creationId xmlns:a16="http://schemas.microsoft.com/office/drawing/2014/main" id="{14D4EB60-5D03-A961-51B1-4624649DF68C}"/>
            </a:ext>
          </a:extLst>
        </xdr:cNvPr>
        <xdr:cNvSpPr/>
      </xdr:nvSpPr>
      <xdr:spPr>
        <a:xfrm>
          <a:off x="8950382" y="4086369"/>
          <a:ext cx="54379" cy="1060392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23</xdr:row>
      <xdr:rowOff>123969</xdr:rowOff>
    </xdr:from>
    <xdr:to>
      <xdr:col>23</xdr:col>
      <xdr:colOff>0</xdr:colOff>
      <xdr:row>29</xdr:row>
      <xdr:rowOff>155661</xdr:rowOff>
    </xdr:to>
    <xdr:sp macro="" textlink="">
      <xdr:nvSpPr>
        <xdr:cNvPr id="2616" name="Rectangle 2615">
          <a:extLst>
            <a:ext uri="{FF2B5EF4-FFF2-40B4-BE49-F238E27FC236}">
              <a16:creationId xmlns:a16="http://schemas.microsoft.com/office/drawing/2014/main" id="{22407C05-C565-5C1E-455E-38C78D732AF7}"/>
            </a:ext>
          </a:extLst>
        </xdr:cNvPr>
        <xdr:cNvSpPr/>
      </xdr:nvSpPr>
      <xdr:spPr>
        <a:xfrm>
          <a:off x="9956396" y="4086369"/>
          <a:ext cx="54379" cy="1060392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30</xdr:row>
      <xdr:rowOff>44652</xdr:rowOff>
    </xdr:from>
    <xdr:to>
      <xdr:col>20</xdr:col>
      <xdr:colOff>222711</xdr:colOff>
      <xdr:row>34</xdr:row>
      <xdr:rowOff>65780</xdr:rowOff>
    </xdr:to>
    <xdr:sp macro="" textlink="">
      <xdr:nvSpPr>
        <xdr:cNvPr id="2617" name="Rectangle 2616">
          <a:extLst>
            <a:ext uri="{FF2B5EF4-FFF2-40B4-BE49-F238E27FC236}">
              <a16:creationId xmlns:a16="http://schemas.microsoft.com/office/drawing/2014/main" id="{5368B378-7E10-0CA3-89B7-54803E5DAC59}"/>
            </a:ext>
          </a:extLst>
        </xdr:cNvPr>
        <xdr:cNvSpPr/>
      </xdr:nvSpPr>
      <xdr:spPr>
        <a:xfrm>
          <a:off x="8950382" y="5207202"/>
          <a:ext cx="54379" cy="706928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374246</xdr:colOff>
      <xdr:row>30</xdr:row>
      <xdr:rowOff>54177</xdr:rowOff>
    </xdr:from>
    <xdr:to>
      <xdr:col>23</xdr:col>
      <xdr:colOff>19050</xdr:colOff>
      <xdr:row>34</xdr:row>
      <xdr:rowOff>75305</xdr:rowOff>
    </xdr:to>
    <xdr:sp macro="" textlink="">
      <xdr:nvSpPr>
        <xdr:cNvPr id="2618" name="Rectangle 2617">
          <a:extLst>
            <a:ext uri="{FF2B5EF4-FFF2-40B4-BE49-F238E27FC236}">
              <a16:creationId xmlns:a16="http://schemas.microsoft.com/office/drawing/2014/main" id="{6B32DA38-9335-5743-4B22-ECE4F9576F73}"/>
            </a:ext>
          </a:extLst>
        </xdr:cNvPr>
        <xdr:cNvSpPr/>
      </xdr:nvSpPr>
      <xdr:spPr>
        <a:xfrm>
          <a:off x="9975446" y="5216727"/>
          <a:ext cx="54379" cy="706928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158807</xdr:colOff>
      <xdr:row>34</xdr:row>
      <xdr:rowOff>101802</xdr:rowOff>
    </xdr:from>
    <xdr:to>
      <xdr:col>20</xdr:col>
      <xdr:colOff>213186</xdr:colOff>
      <xdr:row>40</xdr:row>
      <xdr:rowOff>79115</xdr:rowOff>
    </xdr:to>
    <xdr:sp macro="" textlink="">
      <xdr:nvSpPr>
        <xdr:cNvPr id="2619" name="Rectangle 2618">
          <a:extLst>
            <a:ext uri="{FF2B5EF4-FFF2-40B4-BE49-F238E27FC236}">
              <a16:creationId xmlns:a16="http://schemas.microsoft.com/office/drawing/2014/main" id="{71EB457E-53F0-5F67-45C4-AD201EB5605C}"/>
            </a:ext>
          </a:extLst>
        </xdr:cNvPr>
        <xdr:cNvSpPr/>
      </xdr:nvSpPr>
      <xdr:spPr>
        <a:xfrm>
          <a:off x="8940857" y="5950152"/>
          <a:ext cx="54379" cy="1006013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374246</xdr:colOff>
      <xdr:row>34</xdr:row>
      <xdr:rowOff>111327</xdr:rowOff>
    </xdr:from>
    <xdr:to>
      <xdr:col>23</xdr:col>
      <xdr:colOff>19050</xdr:colOff>
      <xdr:row>40</xdr:row>
      <xdr:rowOff>88640</xdr:rowOff>
    </xdr:to>
    <xdr:sp macro="" textlink="">
      <xdr:nvSpPr>
        <xdr:cNvPr id="2620" name="Rectangle 2619">
          <a:extLst>
            <a:ext uri="{FF2B5EF4-FFF2-40B4-BE49-F238E27FC236}">
              <a16:creationId xmlns:a16="http://schemas.microsoft.com/office/drawing/2014/main" id="{C32AC182-A808-53EF-444C-C0AC1AFC528C}"/>
            </a:ext>
          </a:extLst>
        </xdr:cNvPr>
        <xdr:cNvSpPr/>
      </xdr:nvSpPr>
      <xdr:spPr>
        <a:xfrm>
          <a:off x="9975446" y="5959677"/>
          <a:ext cx="54379" cy="1006013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222712</xdr:colOff>
      <xdr:row>29</xdr:row>
      <xdr:rowOff>150582</xdr:rowOff>
    </xdr:from>
    <xdr:to>
      <xdr:col>22</xdr:col>
      <xdr:colOff>355196</xdr:colOff>
      <xdr:row>30</xdr:row>
      <xdr:rowOff>33511</xdr:rowOff>
    </xdr:to>
    <xdr:sp macro="" textlink="">
      <xdr:nvSpPr>
        <xdr:cNvPr id="2621" name="Rectangle 2620">
          <a:extLst>
            <a:ext uri="{FF2B5EF4-FFF2-40B4-BE49-F238E27FC236}">
              <a16:creationId xmlns:a16="http://schemas.microsoft.com/office/drawing/2014/main" id="{F63E795A-7A68-52A6-FF6E-21AF2CE55A0B}"/>
            </a:ext>
          </a:extLst>
        </xdr:cNvPr>
        <xdr:cNvSpPr/>
      </xdr:nvSpPr>
      <xdr:spPr>
        <a:xfrm>
          <a:off x="9004762" y="5141682"/>
          <a:ext cx="95163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222712</xdr:colOff>
      <xdr:row>34</xdr:row>
      <xdr:rowOff>54639</xdr:rowOff>
    </xdr:from>
    <xdr:to>
      <xdr:col>22</xdr:col>
      <xdr:colOff>355196</xdr:colOff>
      <xdr:row>34</xdr:row>
      <xdr:rowOff>109018</xdr:rowOff>
    </xdr:to>
    <xdr:sp macro="" textlink="">
      <xdr:nvSpPr>
        <xdr:cNvPr id="2622" name="Rectangle 2621">
          <a:extLst>
            <a:ext uri="{FF2B5EF4-FFF2-40B4-BE49-F238E27FC236}">
              <a16:creationId xmlns:a16="http://schemas.microsoft.com/office/drawing/2014/main" id="{23AFC896-F903-F9F1-2D2B-36FA691E79E4}"/>
            </a:ext>
          </a:extLst>
        </xdr:cNvPr>
        <xdr:cNvSpPr/>
      </xdr:nvSpPr>
      <xdr:spPr>
        <a:xfrm>
          <a:off x="9004762" y="5902989"/>
          <a:ext cx="95163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222712</xdr:colOff>
      <xdr:row>40</xdr:row>
      <xdr:rowOff>85292</xdr:rowOff>
    </xdr:from>
    <xdr:to>
      <xdr:col>22</xdr:col>
      <xdr:colOff>355196</xdr:colOff>
      <xdr:row>40</xdr:row>
      <xdr:rowOff>139671</xdr:rowOff>
    </xdr:to>
    <xdr:sp macro="" textlink="">
      <xdr:nvSpPr>
        <xdr:cNvPr id="2623" name="Rectangle 2622">
          <a:extLst>
            <a:ext uri="{FF2B5EF4-FFF2-40B4-BE49-F238E27FC236}">
              <a16:creationId xmlns:a16="http://schemas.microsoft.com/office/drawing/2014/main" id="{1BCFFC6E-1971-A393-41C8-151B89EB79FB}"/>
            </a:ext>
          </a:extLst>
        </xdr:cNvPr>
        <xdr:cNvSpPr/>
      </xdr:nvSpPr>
      <xdr:spPr>
        <a:xfrm>
          <a:off x="9004762" y="6962342"/>
          <a:ext cx="95163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3D796-264F-4CB7-8328-54A46D0B69E3}">
  <sheetPr codeName="Sheet1"/>
  <dimension ref="A2:W51"/>
  <sheetViews>
    <sheetView tabSelected="1" topLeftCell="A6" workbookViewId="0">
      <selection activeCell="AB31" sqref="AB31"/>
    </sheetView>
  </sheetViews>
  <sheetFormatPr defaultColWidth="9" defaultRowHeight="13.5" x14ac:dyDescent="0.25"/>
  <cols>
    <col min="1" max="1" width="11" style="1" customWidth="1"/>
    <col min="2" max="4" width="9" style="1"/>
    <col min="5" max="20" width="5.85546875" style="1" customWidth="1"/>
    <col min="21" max="23" width="6.140625" style="1" customWidth="1"/>
    <col min="24" max="16384" width="9" style="1"/>
  </cols>
  <sheetData>
    <row r="2" spans="1:23" x14ac:dyDescent="0.25"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3" spans="1:23" x14ac:dyDescent="0.25"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</row>
    <row r="4" spans="1:23" x14ac:dyDescent="0.25"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</row>
    <row r="5" spans="1:23" x14ac:dyDescent="0.25">
      <c r="A5" s="1" t="s">
        <v>0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</row>
    <row r="6" spans="1:23" ht="15" customHeight="1" x14ac:dyDescent="0.25">
      <c r="A6" s="1" t="s">
        <v>1</v>
      </c>
      <c r="B6" s="3">
        <v>55</v>
      </c>
      <c r="C6" s="1" t="s">
        <v>2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 x14ac:dyDescent="0.25">
      <c r="A7" s="1" t="s">
        <v>3</v>
      </c>
      <c r="B7" s="3">
        <v>35</v>
      </c>
      <c r="C7" s="1" t="s">
        <v>2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spans="1:23" x14ac:dyDescent="0.25">
      <c r="A8" s="1" t="s">
        <v>4</v>
      </c>
      <c r="B8" s="2">
        <f>B6*B7</f>
        <v>1925</v>
      </c>
      <c r="C8" s="1" t="s">
        <v>5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spans="1:23" x14ac:dyDescent="0.25">
      <c r="A9" s="1" t="s">
        <v>6</v>
      </c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spans="1:23" x14ac:dyDescent="0.25">
      <c r="A10" s="1" t="s">
        <v>7</v>
      </c>
      <c r="B10" s="6">
        <v>493.875</v>
      </c>
      <c r="C10" s="1" t="s">
        <v>8</v>
      </c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x14ac:dyDescent="0.25">
      <c r="A11" s="1" t="s">
        <v>9</v>
      </c>
      <c r="B11" s="6">
        <v>365.25</v>
      </c>
      <c r="C11" s="1" t="s">
        <v>8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23" x14ac:dyDescent="0.25">
      <c r="A12" s="1" t="s">
        <v>10</v>
      </c>
      <c r="B12" s="6">
        <v>27</v>
      </c>
      <c r="C12" s="1" t="s">
        <v>8</v>
      </c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 x14ac:dyDescent="0.25">
      <c r="A13" s="1" t="s">
        <v>11</v>
      </c>
      <c r="B13" s="6">
        <v>703.5</v>
      </c>
      <c r="C13" s="1" t="s">
        <v>8</v>
      </c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</row>
    <row r="14" spans="1:23" x14ac:dyDescent="0.25">
      <c r="A14" s="1" t="s">
        <v>12</v>
      </c>
      <c r="B14" s="6">
        <v>199.5</v>
      </c>
      <c r="C14" s="1" t="s">
        <v>8</v>
      </c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</row>
    <row r="15" spans="1:23" x14ac:dyDescent="0.25">
      <c r="A15" s="1" t="s">
        <v>13</v>
      </c>
      <c r="B15" s="6">
        <v>788.25</v>
      </c>
      <c r="C15" s="1" t="s">
        <v>8</v>
      </c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</row>
    <row r="16" spans="1:23" x14ac:dyDescent="0.25">
      <c r="A16" s="1" t="s">
        <v>14</v>
      </c>
      <c r="B16" s="6">
        <v>676.5</v>
      </c>
      <c r="C16" s="1" t="s">
        <v>8</v>
      </c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</row>
    <row r="17" spans="1:23" x14ac:dyDescent="0.25">
      <c r="A17" s="1" t="s">
        <v>15</v>
      </c>
      <c r="B17" s="6">
        <v>588.75</v>
      </c>
      <c r="C17" s="1" t="s">
        <v>8</v>
      </c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 x14ac:dyDescent="0.25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</row>
    <row r="19" spans="1:23" x14ac:dyDescent="0.25">
      <c r="A19" s="1" t="s">
        <v>16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</row>
    <row r="20" spans="1:23" x14ac:dyDescent="0.25">
      <c r="A20" s="1" t="s">
        <v>17</v>
      </c>
      <c r="B20" s="5">
        <v>7.6</v>
      </c>
      <c r="C20" s="1" t="s">
        <v>2</v>
      </c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</row>
    <row r="21" spans="1:23" x14ac:dyDescent="0.25">
      <c r="A21" s="1" t="s">
        <v>18</v>
      </c>
      <c r="B21" s="5">
        <v>5.6</v>
      </c>
      <c r="C21" s="1" t="s">
        <v>2</v>
      </c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spans="1:23" x14ac:dyDescent="0.25">
      <c r="A22" s="1" t="s">
        <v>19</v>
      </c>
      <c r="B22" s="5">
        <v>9</v>
      </c>
      <c r="C22" s="1" t="s">
        <v>2</v>
      </c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</row>
    <row r="23" spans="1:23" x14ac:dyDescent="0.25">
      <c r="A23" s="1" t="s">
        <v>20</v>
      </c>
      <c r="B23" s="5">
        <v>13</v>
      </c>
      <c r="C23" s="1" t="s">
        <v>2</v>
      </c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</row>
    <row r="24" spans="1:23" x14ac:dyDescent="0.25"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</row>
    <row r="25" spans="1:23" x14ac:dyDescent="0.25">
      <c r="A25" s="1" t="s">
        <v>21</v>
      </c>
      <c r="B25" s="6">
        <v>20</v>
      </c>
      <c r="C25" s="1" t="s">
        <v>24</v>
      </c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</row>
    <row r="26" spans="1:23" x14ac:dyDescent="0.25">
      <c r="A26" s="1" t="s">
        <v>22</v>
      </c>
      <c r="B26" s="6">
        <v>20</v>
      </c>
      <c r="C26" s="1" t="s">
        <v>24</v>
      </c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</row>
    <row r="27" spans="1:23" x14ac:dyDescent="0.25">
      <c r="A27" s="1" t="s">
        <v>23</v>
      </c>
      <c r="B27" s="6">
        <v>20</v>
      </c>
      <c r="C27" s="1" t="s">
        <v>24</v>
      </c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</row>
    <row r="28" spans="1:23" x14ac:dyDescent="0.25">
      <c r="A28" s="1" t="s">
        <v>298</v>
      </c>
      <c r="B28" s="1">
        <v>250.4</v>
      </c>
      <c r="C28" s="1" t="s">
        <v>27</v>
      </c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</row>
    <row r="29" spans="1:23" x14ac:dyDescent="0.25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</row>
    <row r="30" spans="1:23" x14ac:dyDescent="0.25"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</row>
    <row r="31" spans="1:23" x14ac:dyDescent="0.25"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</row>
    <row r="32" spans="1:23" x14ac:dyDescent="0.25"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</row>
    <row r="33" spans="5:23" x14ac:dyDescent="0.25"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</row>
    <row r="34" spans="5:23" x14ac:dyDescent="0.25"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</row>
    <row r="35" spans="5:23" x14ac:dyDescent="0.25"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</row>
    <row r="36" spans="5:23" x14ac:dyDescent="0.25"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</row>
    <row r="37" spans="5:23" x14ac:dyDescent="0.25"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</row>
    <row r="38" spans="5:23" x14ac:dyDescent="0.25"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</row>
    <row r="39" spans="5:23" x14ac:dyDescent="0.25"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</row>
    <row r="40" spans="5:23" x14ac:dyDescent="0.25"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</row>
    <row r="41" spans="5:23" x14ac:dyDescent="0.25"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</row>
    <row r="42" spans="5:23" x14ac:dyDescent="0.25"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</row>
    <row r="43" spans="5:23" x14ac:dyDescent="0.25"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</row>
    <row r="44" spans="5:23" x14ac:dyDescent="0.25"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</row>
    <row r="45" spans="5:23" x14ac:dyDescent="0.25"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</row>
    <row r="46" spans="5:23" x14ac:dyDescent="0.25"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</row>
    <row r="47" spans="5:23" x14ac:dyDescent="0.25"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</row>
    <row r="48" spans="5:23" x14ac:dyDescent="0.25"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</row>
    <row r="49" spans="5:23" x14ac:dyDescent="0.25"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</row>
    <row r="50" spans="5:23" x14ac:dyDescent="0.25"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</row>
    <row r="51" spans="5:23" x14ac:dyDescent="0.25"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">
                <anchor moveWithCells="1" sizeWithCells="1">
                  <from>
                    <xdr:col>1</xdr:col>
                    <xdr:colOff>19050</xdr:colOff>
                    <xdr:row>1</xdr:row>
                    <xdr:rowOff>19050</xdr:rowOff>
                  </from>
                  <to>
                    <xdr:col>1</xdr:col>
                    <xdr:colOff>676275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AllRectangles">
                <anchor moveWithCells="1" sizeWithCells="1">
                  <from>
                    <xdr:col>2</xdr:col>
                    <xdr:colOff>361950</xdr:colOff>
                    <xdr:row>1</xdr:row>
                    <xdr:rowOff>76200</xdr:rowOff>
                  </from>
                  <to>
                    <xdr:col>3</xdr:col>
                    <xdr:colOff>304800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1312C-7DDD-4102-994F-2FE501E79B63}">
  <sheetPr codeName="Sheet2"/>
  <dimension ref="A1:P190"/>
  <sheetViews>
    <sheetView zoomScale="85" zoomScaleNormal="85" workbookViewId="0">
      <pane ySplit="16" topLeftCell="A17" activePane="bottomLeft" state="frozen"/>
      <selection pane="bottomLeft" activeCell="H10" sqref="H10"/>
    </sheetView>
  </sheetViews>
  <sheetFormatPr defaultRowHeight="12.75" x14ac:dyDescent="0.2"/>
  <cols>
    <col min="1" max="1" width="5.7109375" style="7" customWidth="1"/>
    <col min="2" max="2" width="32.28515625" style="7" customWidth="1"/>
    <col min="3" max="3" width="14.28515625" style="7" customWidth="1"/>
    <col min="4" max="4" width="10.42578125" style="7" customWidth="1"/>
    <col min="5" max="5" width="14.28515625" style="7" customWidth="1"/>
    <col min="6" max="6" width="20.7109375" style="7" customWidth="1"/>
    <col min="7" max="7" width="14.28515625" style="7" customWidth="1"/>
    <col min="8" max="8" width="20.7109375" style="7" customWidth="1"/>
    <col min="9" max="9" width="14.28515625" style="7" customWidth="1"/>
    <col min="10" max="10" width="20.7109375" style="7" customWidth="1"/>
    <col min="11" max="11" width="15" style="7" customWidth="1"/>
    <col min="12" max="12" width="23.5703125" style="7" customWidth="1"/>
    <col min="13" max="13" width="14.28515625" style="7" customWidth="1"/>
    <col min="14" max="14" width="23.5703125" style="7" customWidth="1"/>
    <col min="15" max="15" width="18.7109375" style="7" customWidth="1"/>
    <col min="16" max="16" width="11.5703125" style="7" bestFit="1" customWidth="1"/>
    <col min="17" max="256" width="9.140625" style="7"/>
    <col min="257" max="257" width="5.7109375" style="7" customWidth="1"/>
    <col min="258" max="258" width="32.28515625" style="7" customWidth="1"/>
    <col min="259" max="259" width="14.28515625" style="7" customWidth="1"/>
    <col min="260" max="260" width="10.42578125" style="7" customWidth="1"/>
    <col min="261" max="261" width="14.28515625" style="7" customWidth="1"/>
    <col min="262" max="262" width="20.7109375" style="7" customWidth="1"/>
    <col min="263" max="263" width="14.28515625" style="7" customWidth="1"/>
    <col min="264" max="264" width="20.7109375" style="7" customWidth="1"/>
    <col min="265" max="265" width="14.28515625" style="7" customWidth="1"/>
    <col min="266" max="266" width="20.7109375" style="7" customWidth="1"/>
    <col min="267" max="267" width="15" style="7" customWidth="1"/>
    <col min="268" max="268" width="23.5703125" style="7" customWidth="1"/>
    <col min="269" max="269" width="14.28515625" style="7" customWidth="1"/>
    <col min="270" max="270" width="23.5703125" style="7" customWidth="1"/>
    <col min="271" max="271" width="18.7109375" style="7" customWidth="1"/>
    <col min="272" max="272" width="11.5703125" style="7" bestFit="1" customWidth="1"/>
    <col min="273" max="512" width="9.140625" style="7"/>
    <col min="513" max="513" width="5.7109375" style="7" customWidth="1"/>
    <col min="514" max="514" width="32.28515625" style="7" customWidth="1"/>
    <col min="515" max="515" width="14.28515625" style="7" customWidth="1"/>
    <col min="516" max="516" width="10.42578125" style="7" customWidth="1"/>
    <col min="517" max="517" width="14.28515625" style="7" customWidth="1"/>
    <col min="518" max="518" width="20.7109375" style="7" customWidth="1"/>
    <col min="519" max="519" width="14.28515625" style="7" customWidth="1"/>
    <col min="520" max="520" width="20.7109375" style="7" customWidth="1"/>
    <col min="521" max="521" width="14.28515625" style="7" customWidth="1"/>
    <col min="522" max="522" width="20.7109375" style="7" customWidth="1"/>
    <col min="523" max="523" width="15" style="7" customWidth="1"/>
    <col min="524" max="524" width="23.5703125" style="7" customWidth="1"/>
    <col min="525" max="525" width="14.28515625" style="7" customWidth="1"/>
    <col min="526" max="526" width="23.5703125" style="7" customWidth="1"/>
    <col min="527" max="527" width="18.7109375" style="7" customWidth="1"/>
    <col min="528" max="528" width="11.5703125" style="7" bestFit="1" customWidth="1"/>
    <col min="529" max="768" width="9.140625" style="7"/>
    <col min="769" max="769" width="5.7109375" style="7" customWidth="1"/>
    <col min="770" max="770" width="32.28515625" style="7" customWidth="1"/>
    <col min="771" max="771" width="14.28515625" style="7" customWidth="1"/>
    <col min="772" max="772" width="10.42578125" style="7" customWidth="1"/>
    <col min="773" max="773" width="14.28515625" style="7" customWidth="1"/>
    <col min="774" max="774" width="20.7109375" style="7" customWidth="1"/>
    <col min="775" max="775" width="14.28515625" style="7" customWidth="1"/>
    <col min="776" max="776" width="20.7109375" style="7" customWidth="1"/>
    <col min="777" max="777" width="14.28515625" style="7" customWidth="1"/>
    <col min="778" max="778" width="20.7109375" style="7" customWidth="1"/>
    <col min="779" max="779" width="15" style="7" customWidth="1"/>
    <col min="780" max="780" width="23.5703125" style="7" customWidth="1"/>
    <col min="781" max="781" width="14.28515625" style="7" customWidth="1"/>
    <col min="782" max="782" width="23.5703125" style="7" customWidth="1"/>
    <col min="783" max="783" width="18.7109375" style="7" customWidth="1"/>
    <col min="784" max="784" width="11.5703125" style="7" bestFit="1" customWidth="1"/>
    <col min="785" max="1024" width="9.140625" style="7"/>
    <col min="1025" max="1025" width="5.7109375" style="7" customWidth="1"/>
    <col min="1026" max="1026" width="32.28515625" style="7" customWidth="1"/>
    <col min="1027" max="1027" width="14.28515625" style="7" customWidth="1"/>
    <col min="1028" max="1028" width="10.42578125" style="7" customWidth="1"/>
    <col min="1029" max="1029" width="14.28515625" style="7" customWidth="1"/>
    <col min="1030" max="1030" width="20.7109375" style="7" customWidth="1"/>
    <col min="1031" max="1031" width="14.28515625" style="7" customWidth="1"/>
    <col min="1032" max="1032" width="20.7109375" style="7" customWidth="1"/>
    <col min="1033" max="1033" width="14.28515625" style="7" customWidth="1"/>
    <col min="1034" max="1034" width="20.7109375" style="7" customWidth="1"/>
    <col min="1035" max="1035" width="15" style="7" customWidth="1"/>
    <col min="1036" max="1036" width="23.5703125" style="7" customWidth="1"/>
    <col min="1037" max="1037" width="14.28515625" style="7" customWidth="1"/>
    <col min="1038" max="1038" width="23.5703125" style="7" customWidth="1"/>
    <col min="1039" max="1039" width="18.7109375" style="7" customWidth="1"/>
    <col min="1040" max="1040" width="11.5703125" style="7" bestFit="1" customWidth="1"/>
    <col min="1041" max="1280" width="9.140625" style="7"/>
    <col min="1281" max="1281" width="5.7109375" style="7" customWidth="1"/>
    <col min="1282" max="1282" width="32.28515625" style="7" customWidth="1"/>
    <col min="1283" max="1283" width="14.28515625" style="7" customWidth="1"/>
    <col min="1284" max="1284" width="10.42578125" style="7" customWidth="1"/>
    <col min="1285" max="1285" width="14.28515625" style="7" customWidth="1"/>
    <col min="1286" max="1286" width="20.7109375" style="7" customWidth="1"/>
    <col min="1287" max="1287" width="14.28515625" style="7" customWidth="1"/>
    <col min="1288" max="1288" width="20.7109375" style="7" customWidth="1"/>
    <col min="1289" max="1289" width="14.28515625" style="7" customWidth="1"/>
    <col min="1290" max="1290" width="20.7109375" style="7" customWidth="1"/>
    <col min="1291" max="1291" width="15" style="7" customWidth="1"/>
    <col min="1292" max="1292" width="23.5703125" style="7" customWidth="1"/>
    <col min="1293" max="1293" width="14.28515625" style="7" customWidth="1"/>
    <col min="1294" max="1294" width="23.5703125" style="7" customWidth="1"/>
    <col min="1295" max="1295" width="18.7109375" style="7" customWidth="1"/>
    <col min="1296" max="1296" width="11.5703125" style="7" bestFit="1" customWidth="1"/>
    <col min="1297" max="1536" width="9.140625" style="7"/>
    <col min="1537" max="1537" width="5.7109375" style="7" customWidth="1"/>
    <col min="1538" max="1538" width="32.28515625" style="7" customWidth="1"/>
    <col min="1539" max="1539" width="14.28515625" style="7" customWidth="1"/>
    <col min="1540" max="1540" width="10.42578125" style="7" customWidth="1"/>
    <col min="1541" max="1541" width="14.28515625" style="7" customWidth="1"/>
    <col min="1542" max="1542" width="20.7109375" style="7" customWidth="1"/>
    <col min="1543" max="1543" width="14.28515625" style="7" customWidth="1"/>
    <col min="1544" max="1544" width="20.7109375" style="7" customWidth="1"/>
    <col min="1545" max="1545" width="14.28515625" style="7" customWidth="1"/>
    <col min="1546" max="1546" width="20.7109375" style="7" customWidth="1"/>
    <col min="1547" max="1547" width="15" style="7" customWidth="1"/>
    <col min="1548" max="1548" width="23.5703125" style="7" customWidth="1"/>
    <col min="1549" max="1549" width="14.28515625" style="7" customWidth="1"/>
    <col min="1550" max="1550" width="23.5703125" style="7" customWidth="1"/>
    <col min="1551" max="1551" width="18.7109375" style="7" customWidth="1"/>
    <col min="1552" max="1552" width="11.5703125" style="7" bestFit="1" customWidth="1"/>
    <col min="1553" max="1792" width="9.140625" style="7"/>
    <col min="1793" max="1793" width="5.7109375" style="7" customWidth="1"/>
    <col min="1794" max="1794" width="32.28515625" style="7" customWidth="1"/>
    <col min="1795" max="1795" width="14.28515625" style="7" customWidth="1"/>
    <col min="1796" max="1796" width="10.42578125" style="7" customWidth="1"/>
    <col min="1797" max="1797" width="14.28515625" style="7" customWidth="1"/>
    <col min="1798" max="1798" width="20.7109375" style="7" customWidth="1"/>
    <col min="1799" max="1799" width="14.28515625" style="7" customWidth="1"/>
    <col min="1800" max="1800" width="20.7109375" style="7" customWidth="1"/>
    <col min="1801" max="1801" width="14.28515625" style="7" customWidth="1"/>
    <col min="1802" max="1802" width="20.7109375" style="7" customWidth="1"/>
    <col min="1803" max="1803" width="15" style="7" customWidth="1"/>
    <col min="1804" max="1804" width="23.5703125" style="7" customWidth="1"/>
    <col min="1805" max="1805" width="14.28515625" style="7" customWidth="1"/>
    <col min="1806" max="1806" width="23.5703125" style="7" customWidth="1"/>
    <col min="1807" max="1807" width="18.7109375" style="7" customWidth="1"/>
    <col min="1808" max="1808" width="11.5703125" style="7" bestFit="1" customWidth="1"/>
    <col min="1809" max="2048" width="9.140625" style="7"/>
    <col min="2049" max="2049" width="5.7109375" style="7" customWidth="1"/>
    <col min="2050" max="2050" width="32.28515625" style="7" customWidth="1"/>
    <col min="2051" max="2051" width="14.28515625" style="7" customWidth="1"/>
    <col min="2052" max="2052" width="10.42578125" style="7" customWidth="1"/>
    <col min="2053" max="2053" width="14.28515625" style="7" customWidth="1"/>
    <col min="2054" max="2054" width="20.7109375" style="7" customWidth="1"/>
    <col min="2055" max="2055" width="14.28515625" style="7" customWidth="1"/>
    <col min="2056" max="2056" width="20.7109375" style="7" customWidth="1"/>
    <col min="2057" max="2057" width="14.28515625" style="7" customWidth="1"/>
    <col min="2058" max="2058" width="20.7109375" style="7" customWidth="1"/>
    <col min="2059" max="2059" width="15" style="7" customWidth="1"/>
    <col min="2060" max="2060" width="23.5703125" style="7" customWidth="1"/>
    <col min="2061" max="2061" width="14.28515625" style="7" customWidth="1"/>
    <col min="2062" max="2062" width="23.5703125" style="7" customWidth="1"/>
    <col min="2063" max="2063" width="18.7109375" style="7" customWidth="1"/>
    <col min="2064" max="2064" width="11.5703125" style="7" bestFit="1" customWidth="1"/>
    <col min="2065" max="2304" width="9.140625" style="7"/>
    <col min="2305" max="2305" width="5.7109375" style="7" customWidth="1"/>
    <col min="2306" max="2306" width="32.28515625" style="7" customWidth="1"/>
    <col min="2307" max="2307" width="14.28515625" style="7" customWidth="1"/>
    <col min="2308" max="2308" width="10.42578125" style="7" customWidth="1"/>
    <col min="2309" max="2309" width="14.28515625" style="7" customWidth="1"/>
    <col min="2310" max="2310" width="20.7109375" style="7" customWidth="1"/>
    <col min="2311" max="2311" width="14.28515625" style="7" customWidth="1"/>
    <col min="2312" max="2312" width="20.7109375" style="7" customWidth="1"/>
    <col min="2313" max="2313" width="14.28515625" style="7" customWidth="1"/>
    <col min="2314" max="2314" width="20.7109375" style="7" customWidth="1"/>
    <col min="2315" max="2315" width="15" style="7" customWidth="1"/>
    <col min="2316" max="2316" width="23.5703125" style="7" customWidth="1"/>
    <col min="2317" max="2317" width="14.28515625" style="7" customWidth="1"/>
    <col min="2318" max="2318" width="23.5703125" style="7" customWidth="1"/>
    <col min="2319" max="2319" width="18.7109375" style="7" customWidth="1"/>
    <col min="2320" max="2320" width="11.5703125" style="7" bestFit="1" customWidth="1"/>
    <col min="2321" max="2560" width="9.140625" style="7"/>
    <col min="2561" max="2561" width="5.7109375" style="7" customWidth="1"/>
    <col min="2562" max="2562" width="32.28515625" style="7" customWidth="1"/>
    <col min="2563" max="2563" width="14.28515625" style="7" customWidth="1"/>
    <col min="2564" max="2564" width="10.42578125" style="7" customWidth="1"/>
    <col min="2565" max="2565" width="14.28515625" style="7" customWidth="1"/>
    <col min="2566" max="2566" width="20.7109375" style="7" customWidth="1"/>
    <col min="2567" max="2567" width="14.28515625" style="7" customWidth="1"/>
    <col min="2568" max="2568" width="20.7109375" style="7" customWidth="1"/>
    <col min="2569" max="2569" width="14.28515625" style="7" customWidth="1"/>
    <col min="2570" max="2570" width="20.7109375" style="7" customWidth="1"/>
    <col min="2571" max="2571" width="15" style="7" customWidth="1"/>
    <col min="2572" max="2572" width="23.5703125" style="7" customWidth="1"/>
    <col min="2573" max="2573" width="14.28515625" style="7" customWidth="1"/>
    <col min="2574" max="2574" width="23.5703125" style="7" customWidth="1"/>
    <col min="2575" max="2575" width="18.7109375" style="7" customWidth="1"/>
    <col min="2576" max="2576" width="11.5703125" style="7" bestFit="1" customWidth="1"/>
    <col min="2577" max="2816" width="9.140625" style="7"/>
    <col min="2817" max="2817" width="5.7109375" style="7" customWidth="1"/>
    <col min="2818" max="2818" width="32.28515625" style="7" customWidth="1"/>
    <col min="2819" max="2819" width="14.28515625" style="7" customWidth="1"/>
    <col min="2820" max="2820" width="10.42578125" style="7" customWidth="1"/>
    <col min="2821" max="2821" width="14.28515625" style="7" customWidth="1"/>
    <col min="2822" max="2822" width="20.7109375" style="7" customWidth="1"/>
    <col min="2823" max="2823" width="14.28515625" style="7" customWidth="1"/>
    <col min="2824" max="2824" width="20.7109375" style="7" customWidth="1"/>
    <col min="2825" max="2825" width="14.28515625" style="7" customWidth="1"/>
    <col min="2826" max="2826" width="20.7109375" style="7" customWidth="1"/>
    <col min="2827" max="2827" width="15" style="7" customWidth="1"/>
    <col min="2828" max="2828" width="23.5703125" style="7" customWidth="1"/>
    <col min="2829" max="2829" width="14.28515625" style="7" customWidth="1"/>
    <col min="2830" max="2830" width="23.5703125" style="7" customWidth="1"/>
    <col min="2831" max="2831" width="18.7109375" style="7" customWidth="1"/>
    <col min="2832" max="2832" width="11.5703125" style="7" bestFit="1" customWidth="1"/>
    <col min="2833" max="3072" width="9.140625" style="7"/>
    <col min="3073" max="3073" width="5.7109375" style="7" customWidth="1"/>
    <col min="3074" max="3074" width="32.28515625" style="7" customWidth="1"/>
    <col min="3075" max="3075" width="14.28515625" style="7" customWidth="1"/>
    <col min="3076" max="3076" width="10.42578125" style="7" customWidth="1"/>
    <col min="3077" max="3077" width="14.28515625" style="7" customWidth="1"/>
    <col min="3078" max="3078" width="20.7109375" style="7" customWidth="1"/>
    <col min="3079" max="3079" width="14.28515625" style="7" customWidth="1"/>
    <col min="3080" max="3080" width="20.7109375" style="7" customWidth="1"/>
    <col min="3081" max="3081" width="14.28515625" style="7" customWidth="1"/>
    <col min="3082" max="3082" width="20.7109375" style="7" customWidth="1"/>
    <col min="3083" max="3083" width="15" style="7" customWidth="1"/>
    <col min="3084" max="3084" width="23.5703125" style="7" customWidth="1"/>
    <col min="3085" max="3085" width="14.28515625" style="7" customWidth="1"/>
    <col min="3086" max="3086" width="23.5703125" style="7" customWidth="1"/>
    <col min="3087" max="3087" width="18.7109375" style="7" customWidth="1"/>
    <col min="3088" max="3088" width="11.5703125" style="7" bestFit="1" customWidth="1"/>
    <col min="3089" max="3328" width="9.140625" style="7"/>
    <col min="3329" max="3329" width="5.7109375" style="7" customWidth="1"/>
    <col min="3330" max="3330" width="32.28515625" style="7" customWidth="1"/>
    <col min="3331" max="3331" width="14.28515625" style="7" customWidth="1"/>
    <col min="3332" max="3332" width="10.42578125" style="7" customWidth="1"/>
    <col min="3333" max="3333" width="14.28515625" style="7" customWidth="1"/>
    <col min="3334" max="3334" width="20.7109375" style="7" customWidth="1"/>
    <col min="3335" max="3335" width="14.28515625" style="7" customWidth="1"/>
    <col min="3336" max="3336" width="20.7109375" style="7" customWidth="1"/>
    <col min="3337" max="3337" width="14.28515625" style="7" customWidth="1"/>
    <col min="3338" max="3338" width="20.7109375" style="7" customWidth="1"/>
    <col min="3339" max="3339" width="15" style="7" customWidth="1"/>
    <col min="3340" max="3340" width="23.5703125" style="7" customWidth="1"/>
    <col min="3341" max="3341" width="14.28515625" style="7" customWidth="1"/>
    <col min="3342" max="3342" width="23.5703125" style="7" customWidth="1"/>
    <col min="3343" max="3343" width="18.7109375" style="7" customWidth="1"/>
    <col min="3344" max="3344" width="11.5703125" style="7" bestFit="1" customWidth="1"/>
    <col min="3345" max="3584" width="9.140625" style="7"/>
    <col min="3585" max="3585" width="5.7109375" style="7" customWidth="1"/>
    <col min="3586" max="3586" width="32.28515625" style="7" customWidth="1"/>
    <col min="3587" max="3587" width="14.28515625" style="7" customWidth="1"/>
    <col min="3588" max="3588" width="10.42578125" style="7" customWidth="1"/>
    <col min="3589" max="3589" width="14.28515625" style="7" customWidth="1"/>
    <col min="3590" max="3590" width="20.7109375" style="7" customWidth="1"/>
    <col min="3591" max="3591" width="14.28515625" style="7" customWidth="1"/>
    <col min="3592" max="3592" width="20.7109375" style="7" customWidth="1"/>
    <col min="3593" max="3593" width="14.28515625" style="7" customWidth="1"/>
    <col min="3594" max="3594" width="20.7109375" style="7" customWidth="1"/>
    <col min="3595" max="3595" width="15" style="7" customWidth="1"/>
    <col min="3596" max="3596" width="23.5703125" style="7" customWidth="1"/>
    <col min="3597" max="3597" width="14.28515625" style="7" customWidth="1"/>
    <col min="3598" max="3598" width="23.5703125" style="7" customWidth="1"/>
    <col min="3599" max="3599" width="18.7109375" style="7" customWidth="1"/>
    <col min="3600" max="3600" width="11.5703125" style="7" bestFit="1" customWidth="1"/>
    <col min="3601" max="3840" width="9.140625" style="7"/>
    <col min="3841" max="3841" width="5.7109375" style="7" customWidth="1"/>
    <col min="3842" max="3842" width="32.28515625" style="7" customWidth="1"/>
    <col min="3843" max="3843" width="14.28515625" style="7" customWidth="1"/>
    <col min="3844" max="3844" width="10.42578125" style="7" customWidth="1"/>
    <col min="3845" max="3845" width="14.28515625" style="7" customWidth="1"/>
    <col min="3846" max="3846" width="20.7109375" style="7" customWidth="1"/>
    <col min="3847" max="3847" width="14.28515625" style="7" customWidth="1"/>
    <col min="3848" max="3848" width="20.7109375" style="7" customWidth="1"/>
    <col min="3849" max="3849" width="14.28515625" style="7" customWidth="1"/>
    <col min="3850" max="3850" width="20.7109375" style="7" customWidth="1"/>
    <col min="3851" max="3851" width="15" style="7" customWidth="1"/>
    <col min="3852" max="3852" width="23.5703125" style="7" customWidth="1"/>
    <col min="3853" max="3853" width="14.28515625" style="7" customWidth="1"/>
    <col min="3854" max="3854" width="23.5703125" style="7" customWidth="1"/>
    <col min="3855" max="3855" width="18.7109375" style="7" customWidth="1"/>
    <col min="3856" max="3856" width="11.5703125" style="7" bestFit="1" customWidth="1"/>
    <col min="3857" max="4096" width="9.140625" style="7"/>
    <col min="4097" max="4097" width="5.7109375" style="7" customWidth="1"/>
    <col min="4098" max="4098" width="32.28515625" style="7" customWidth="1"/>
    <col min="4099" max="4099" width="14.28515625" style="7" customWidth="1"/>
    <col min="4100" max="4100" width="10.42578125" style="7" customWidth="1"/>
    <col min="4101" max="4101" width="14.28515625" style="7" customWidth="1"/>
    <col min="4102" max="4102" width="20.7109375" style="7" customWidth="1"/>
    <col min="4103" max="4103" width="14.28515625" style="7" customWidth="1"/>
    <col min="4104" max="4104" width="20.7109375" style="7" customWidth="1"/>
    <col min="4105" max="4105" width="14.28515625" style="7" customWidth="1"/>
    <col min="4106" max="4106" width="20.7109375" style="7" customWidth="1"/>
    <col min="4107" max="4107" width="15" style="7" customWidth="1"/>
    <col min="4108" max="4108" width="23.5703125" style="7" customWidth="1"/>
    <col min="4109" max="4109" width="14.28515625" style="7" customWidth="1"/>
    <col min="4110" max="4110" width="23.5703125" style="7" customWidth="1"/>
    <col min="4111" max="4111" width="18.7109375" style="7" customWidth="1"/>
    <col min="4112" max="4112" width="11.5703125" style="7" bestFit="1" customWidth="1"/>
    <col min="4113" max="4352" width="9.140625" style="7"/>
    <col min="4353" max="4353" width="5.7109375" style="7" customWidth="1"/>
    <col min="4354" max="4354" width="32.28515625" style="7" customWidth="1"/>
    <col min="4355" max="4355" width="14.28515625" style="7" customWidth="1"/>
    <col min="4356" max="4356" width="10.42578125" style="7" customWidth="1"/>
    <col min="4357" max="4357" width="14.28515625" style="7" customWidth="1"/>
    <col min="4358" max="4358" width="20.7109375" style="7" customWidth="1"/>
    <col min="4359" max="4359" width="14.28515625" style="7" customWidth="1"/>
    <col min="4360" max="4360" width="20.7109375" style="7" customWidth="1"/>
    <col min="4361" max="4361" width="14.28515625" style="7" customWidth="1"/>
    <col min="4362" max="4362" width="20.7109375" style="7" customWidth="1"/>
    <col min="4363" max="4363" width="15" style="7" customWidth="1"/>
    <col min="4364" max="4364" width="23.5703125" style="7" customWidth="1"/>
    <col min="4365" max="4365" width="14.28515625" style="7" customWidth="1"/>
    <col min="4366" max="4366" width="23.5703125" style="7" customWidth="1"/>
    <col min="4367" max="4367" width="18.7109375" style="7" customWidth="1"/>
    <col min="4368" max="4368" width="11.5703125" style="7" bestFit="1" customWidth="1"/>
    <col min="4369" max="4608" width="9.140625" style="7"/>
    <col min="4609" max="4609" width="5.7109375" style="7" customWidth="1"/>
    <col min="4610" max="4610" width="32.28515625" style="7" customWidth="1"/>
    <col min="4611" max="4611" width="14.28515625" style="7" customWidth="1"/>
    <col min="4612" max="4612" width="10.42578125" style="7" customWidth="1"/>
    <col min="4613" max="4613" width="14.28515625" style="7" customWidth="1"/>
    <col min="4614" max="4614" width="20.7109375" style="7" customWidth="1"/>
    <col min="4615" max="4615" width="14.28515625" style="7" customWidth="1"/>
    <col min="4616" max="4616" width="20.7109375" style="7" customWidth="1"/>
    <col min="4617" max="4617" width="14.28515625" style="7" customWidth="1"/>
    <col min="4618" max="4618" width="20.7109375" style="7" customWidth="1"/>
    <col min="4619" max="4619" width="15" style="7" customWidth="1"/>
    <col min="4620" max="4620" width="23.5703125" style="7" customWidth="1"/>
    <col min="4621" max="4621" width="14.28515625" style="7" customWidth="1"/>
    <col min="4622" max="4622" width="23.5703125" style="7" customWidth="1"/>
    <col min="4623" max="4623" width="18.7109375" style="7" customWidth="1"/>
    <col min="4624" max="4624" width="11.5703125" style="7" bestFit="1" customWidth="1"/>
    <col min="4625" max="4864" width="9.140625" style="7"/>
    <col min="4865" max="4865" width="5.7109375" style="7" customWidth="1"/>
    <col min="4866" max="4866" width="32.28515625" style="7" customWidth="1"/>
    <col min="4867" max="4867" width="14.28515625" style="7" customWidth="1"/>
    <col min="4868" max="4868" width="10.42578125" style="7" customWidth="1"/>
    <col min="4869" max="4869" width="14.28515625" style="7" customWidth="1"/>
    <col min="4870" max="4870" width="20.7109375" style="7" customWidth="1"/>
    <col min="4871" max="4871" width="14.28515625" style="7" customWidth="1"/>
    <col min="4872" max="4872" width="20.7109375" style="7" customWidth="1"/>
    <col min="4873" max="4873" width="14.28515625" style="7" customWidth="1"/>
    <col min="4874" max="4874" width="20.7109375" style="7" customWidth="1"/>
    <col min="4875" max="4875" width="15" style="7" customWidth="1"/>
    <col min="4876" max="4876" width="23.5703125" style="7" customWidth="1"/>
    <col min="4877" max="4877" width="14.28515625" style="7" customWidth="1"/>
    <col min="4878" max="4878" width="23.5703125" style="7" customWidth="1"/>
    <col min="4879" max="4879" width="18.7109375" style="7" customWidth="1"/>
    <col min="4880" max="4880" width="11.5703125" style="7" bestFit="1" customWidth="1"/>
    <col min="4881" max="5120" width="9.140625" style="7"/>
    <col min="5121" max="5121" width="5.7109375" style="7" customWidth="1"/>
    <col min="5122" max="5122" width="32.28515625" style="7" customWidth="1"/>
    <col min="5123" max="5123" width="14.28515625" style="7" customWidth="1"/>
    <col min="5124" max="5124" width="10.42578125" style="7" customWidth="1"/>
    <col min="5125" max="5125" width="14.28515625" style="7" customWidth="1"/>
    <col min="5126" max="5126" width="20.7109375" style="7" customWidth="1"/>
    <col min="5127" max="5127" width="14.28515625" style="7" customWidth="1"/>
    <col min="5128" max="5128" width="20.7109375" style="7" customWidth="1"/>
    <col min="5129" max="5129" width="14.28515625" style="7" customWidth="1"/>
    <col min="5130" max="5130" width="20.7109375" style="7" customWidth="1"/>
    <col min="5131" max="5131" width="15" style="7" customWidth="1"/>
    <col min="5132" max="5132" width="23.5703125" style="7" customWidth="1"/>
    <col min="5133" max="5133" width="14.28515625" style="7" customWidth="1"/>
    <col min="5134" max="5134" width="23.5703125" style="7" customWidth="1"/>
    <col min="5135" max="5135" width="18.7109375" style="7" customWidth="1"/>
    <col min="5136" max="5136" width="11.5703125" style="7" bestFit="1" customWidth="1"/>
    <col min="5137" max="5376" width="9.140625" style="7"/>
    <col min="5377" max="5377" width="5.7109375" style="7" customWidth="1"/>
    <col min="5378" max="5378" width="32.28515625" style="7" customWidth="1"/>
    <col min="5379" max="5379" width="14.28515625" style="7" customWidth="1"/>
    <col min="5380" max="5380" width="10.42578125" style="7" customWidth="1"/>
    <col min="5381" max="5381" width="14.28515625" style="7" customWidth="1"/>
    <col min="5382" max="5382" width="20.7109375" style="7" customWidth="1"/>
    <col min="5383" max="5383" width="14.28515625" style="7" customWidth="1"/>
    <col min="5384" max="5384" width="20.7109375" style="7" customWidth="1"/>
    <col min="5385" max="5385" width="14.28515625" style="7" customWidth="1"/>
    <col min="5386" max="5386" width="20.7109375" style="7" customWidth="1"/>
    <col min="5387" max="5387" width="15" style="7" customWidth="1"/>
    <col min="5388" max="5388" width="23.5703125" style="7" customWidth="1"/>
    <col min="5389" max="5389" width="14.28515625" style="7" customWidth="1"/>
    <col min="5390" max="5390" width="23.5703125" style="7" customWidth="1"/>
    <col min="5391" max="5391" width="18.7109375" style="7" customWidth="1"/>
    <col min="5392" max="5392" width="11.5703125" style="7" bestFit="1" customWidth="1"/>
    <col min="5393" max="5632" width="9.140625" style="7"/>
    <col min="5633" max="5633" width="5.7109375" style="7" customWidth="1"/>
    <col min="5634" max="5634" width="32.28515625" style="7" customWidth="1"/>
    <col min="5635" max="5635" width="14.28515625" style="7" customWidth="1"/>
    <col min="5636" max="5636" width="10.42578125" style="7" customWidth="1"/>
    <col min="5637" max="5637" width="14.28515625" style="7" customWidth="1"/>
    <col min="5638" max="5638" width="20.7109375" style="7" customWidth="1"/>
    <col min="5639" max="5639" width="14.28515625" style="7" customWidth="1"/>
    <col min="5640" max="5640" width="20.7109375" style="7" customWidth="1"/>
    <col min="5641" max="5641" width="14.28515625" style="7" customWidth="1"/>
    <col min="5642" max="5642" width="20.7109375" style="7" customWidth="1"/>
    <col min="5643" max="5643" width="15" style="7" customWidth="1"/>
    <col min="5644" max="5644" width="23.5703125" style="7" customWidth="1"/>
    <col min="5645" max="5645" width="14.28515625" style="7" customWidth="1"/>
    <col min="5646" max="5646" width="23.5703125" style="7" customWidth="1"/>
    <col min="5647" max="5647" width="18.7109375" style="7" customWidth="1"/>
    <col min="5648" max="5648" width="11.5703125" style="7" bestFit="1" customWidth="1"/>
    <col min="5649" max="5888" width="9.140625" style="7"/>
    <col min="5889" max="5889" width="5.7109375" style="7" customWidth="1"/>
    <col min="5890" max="5890" width="32.28515625" style="7" customWidth="1"/>
    <col min="5891" max="5891" width="14.28515625" style="7" customWidth="1"/>
    <col min="5892" max="5892" width="10.42578125" style="7" customWidth="1"/>
    <col min="5893" max="5893" width="14.28515625" style="7" customWidth="1"/>
    <col min="5894" max="5894" width="20.7109375" style="7" customWidth="1"/>
    <col min="5895" max="5895" width="14.28515625" style="7" customWidth="1"/>
    <col min="5896" max="5896" width="20.7109375" style="7" customWidth="1"/>
    <col min="5897" max="5897" width="14.28515625" style="7" customWidth="1"/>
    <col min="5898" max="5898" width="20.7109375" style="7" customWidth="1"/>
    <col min="5899" max="5899" width="15" style="7" customWidth="1"/>
    <col min="5900" max="5900" width="23.5703125" style="7" customWidth="1"/>
    <col min="5901" max="5901" width="14.28515625" style="7" customWidth="1"/>
    <col min="5902" max="5902" width="23.5703125" style="7" customWidth="1"/>
    <col min="5903" max="5903" width="18.7109375" style="7" customWidth="1"/>
    <col min="5904" max="5904" width="11.5703125" style="7" bestFit="1" customWidth="1"/>
    <col min="5905" max="6144" width="9.140625" style="7"/>
    <col min="6145" max="6145" width="5.7109375" style="7" customWidth="1"/>
    <col min="6146" max="6146" width="32.28515625" style="7" customWidth="1"/>
    <col min="6147" max="6147" width="14.28515625" style="7" customWidth="1"/>
    <col min="6148" max="6148" width="10.42578125" style="7" customWidth="1"/>
    <col min="6149" max="6149" width="14.28515625" style="7" customWidth="1"/>
    <col min="6150" max="6150" width="20.7109375" style="7" customWidth="1"/>
    <col min="6151" max="6151" width="14.28515625" style="7" customWidth="1"/>
    <col min="6152" max="6152" width="20.7109375" style="7" customWidth="1"/>
    <col min="6153" max="6153" width="14.28515625" style="7" customWidth="1"/>
    <col min="6154" max="6154" width="20.7109375" style="7" customWidth="1"/>
    <col min="6155" max="6155" width="15" style="7" customWidth="1"/>
    <col min="6156" max="6156" width="23.5703125" style="7" customWidth="1"/>
    <col min="6157" max="6157" width="14.28515625" style="7" customWidth="1"/>
    <col min="6158" max="6158" width="23.5703125" style="7" customWidth="1"/>
    <col min="6159" max="6159" width="18.7109375" style="7" customWidth="1"/>
    <col min="6160" max="6160" width="11.5703125" style="7" bestFit="1" customWidth="1"/>
    <col min="6161" max="6400" width="9.140625" style="7"/>
    <col min="6401" max="6401" width="5.7109375" style="7" customWidth="1"/>
    <col min="6402" max="6402" width="32.28515625" style="7" customWidth="1"/>
    <col min="6403" max="6403" width="14.28515625" style="7" customWidth="1"/>
    <col min="6404" max="6404" width="10.42578125" style="7" customWidth="1"/>
    <col min="6405" max="6405" width="14.28515625" style="7" customWidth="1"/>
    <col min="6406" max="6406" width="20.7109375" style="7" customWidth="1"/>
    <col min="6407" max="6407" width="14.28515625" style="7" customWidth="1"/>
    <col min="6408" max="6408" width="20.7109375" style="7" customWidth="1"/>
    <col min="6409" max="6409" width="14.28515625" style="7" customWidth="1"/>
    <col min="6410" max="6410" width="20.7109375" style="7" customWidth="1"/>
    <col min="6411" max="6411" width="15" style="7" customWidth="1"/>
    <col min="6412" max="6412" width="23.5703125" style="7" customWidth="1"/>
    <col min="6413" max="6413" width="14.28515625" style="7" customWidth="1"/>
    <col min="6414" max="6414" width="23.5703125" style="7" customWidth="1"/>
    <col min="6415" max="6415" width="18.7109375" style="7" customWidth="1"/>
    <col min="6416" max="6416" width="11.5703125" style="7" bestFit="1" customWidth="1"/>
    <col min="6417" max="6656" width="9.140625" style="7"/>
    <col min="6657" max="6657" width="5.7109375" style="7" customWidth="1"/>
    <col min="6658" max="6658" width="32.28515625" style="7" customWidth="1"/>
    <col min="6659" max="6659" width="14.28515625" style="7" customWidth="1"/>
    <col min="6660" max="6660" width="10.42578125" style="7" customWidth="1"/>
    <col min="6661" max="6661" width="14.28515625" style="7" customWidth="1"/>
    <col min="6662" max="6662" width="20.7109375" style="7" customWidth="1"/>
    <col min="6663" max="6663" width="14.28515625" style="7" customWidth="1"/>
    <col min="6664" max="6664" width="20.7109375" style="7" customWidth="1"/>
    <col min="6665" max="6665" width="14.28515625" style="7" customWidth="1"/>
    <col min="6666" max="6666" width="20.7109375" style="7" customWidth="1"/>
    <col min="6667" max="6667" width="15" style="7" customWidth="1"/>
    <col min="6668" max="6668" width="23.5703125" style="7" customWidth="1"/>
    <col min="6669" max="6669" width="14.28515625" style="7" customWidth="1"/>
    <col min="6670" max="6670" width="23.5703125" style="7" customWidth="1"/>
    <col min="6671" max="6671" width="18.7109375" style="7" customWidth="1"/>
    <col min="6672" max="6672" width="11.5703125" style="7" bestFit="1" customWidth="1"/>
    <col min="6673" max="6912" width="9.140625" style="7"/>
    <col min="6913" max="6913" width="5.7109375" style="7" customWidth="1"/>
    <col min="6914" max="6914" width="32.28515625" style="7" customWidth="1"/>
    <col min="6915" max="6915" width="14.28515625" style="7" customWidth="1"/>
    <col min="6916" max="6916" width="10.42578125" style="7" customWidth="1"/>
    <col min="6917" max="6917" width="14.28515625" style="7" customWidth="1"/>
    <col min="6918" max="6918" width="20.7109375" style="7" customWidth="1"/>
    <col min="6919" max="6919" width="14.28515625" style="7" customWidth="1"/>
    <col min="6920" max="6920" width="20.7109375" style="7" customWidth="1"/>
    <col min="6921" max="6921" width="14.28515625" style="7" customWidth="1"/>
    <col min="6922" max="6922" width="20.7109375" style="7" customWidth="1"/>
    <col min="6923" max="6923" width="15" style="7" customWidth="1"/>
    <col min="6924" max="6924" width="23.5703125" style="7" customWidth="1"/>
    <col min="6925" max="6925" width="14.28515625" style="7" customWidth="1"/>
    <col min="6926" max="6926" width="23.5703125" style="7" customWidth="1"/>
    <col min="6927" max="6927" width="18.7109375" style="7" customWidth="1"/>
    <col min="6928" max="6928" width="11.5703125" style="7" bestFit="1" customWidth="1"/>
    <col min="6929" max="7168" width="9.140625" style="7"/>
    <col min="7169" max="7169" width="5.7109375" style="7" customWidth="1"/>
    <col min="7170" max="7170" width="32.28515625" style="7" customWidth="1"/>
    <col min="7171" max="7171" width="14.28515625" style="7" customWidth="1"/>
    <col min="7172" max="7172" width="10.42578125" style="7" customWidth="1"/>
    <col min="7173" max="7173" width="14.28515625" style="7" customWidth="1"/>
    <col min="7174" max="7174" width="20.7109375" style="7" customWidth="1"/>
    <col min="7175" max="7175" width="14.28515625" style="7" customWidth="1"/>
    <col min="7176" max="7176" width="20.7109375" style="7" customWidth="1"/>
    <col min="7177" max="7177" width="14.28515625" style="7" customWidth="1"/>
    <col min="7178" max="7178" width="20.7109375" style="7" customWidth="1"/>
    <col min="7179" max="7179" width="15" style="7" customWidth="1"/>
    <col min="7180" max="7180" width="23.5703125" style="7" customWidth="1"/>
    <col min="7181" max="7181" width="14.28515625" style="7" customWidth="1"/>
    <col min="7182" max="7182" width="23.5703125" style="7" customWidth="1"/>
    <col min="7183" max="7183" width="18.7109375" style="7" customWidth="1"/>
    <col min="7184" max="7184" width="11.5703125" style="7" bestFit="1" customWidth="1"/>
    <col min="7185" max="7424" width="9.140625" style="7"/>
    <col min="7425" max="7425" width="5.7109375" style="7" customWidth="1"/>
    <col min="7426" max="7426" width="32.28515625" style="7" customWidth="1"/>
    <col min="7427" max="7427" width="14.28515625" style="7" customWidth="1"/>
    <col min="7428" max="7428" width="10.42578125" style="7" customWidth="1"/>
    <col min="7429" max="7429" width="14.28515625" style="7" customWidth="1"/>
    <col min="7430" max="7430" width="20.7109375" style="7" customWidth="1"/>
    <col min="7431" max="7431" width="14.28515625" style="7" customWidth="1"/>
    <col min="7432" max="7432" width="20.7109375" style="7" customWidth="1"/>
    <col min="7433" max="7433" width="14.28515625" style="7" customWidth="1"/>
    <col min="7434" max="7434" width="20.7109375" style="7" customWidth="1"/>
    <col min="7435" max="7435" width="15" style="7" customWidth="1"/>
    <col min="7436" max="7436" width="23.5703125" style="7" customWidth="1"/>
    <col min="7437" max="7437" width="14.28515625" style="7" customWidth="1"/>
    <col min="7438" max="7438" width="23.5703125" style="7" customWidth="1"/>
    <col min="7439" max="7439" width="18.7109375" style="7" customWidth="1"/>
    <col min="7440" max="7440" width="11.5703125" style="7" bestFit="1" customWidth="1"/>
    <col min="7441" max="7680" width="9.140625" style="7"/>
    <col min="7681" max="7681" width="5.7109375" style="7" customWidth="1"/>
    <col min="7682" max="7682" width="32.28515625" style="7" customWidth="1"/>
    <col min="7683" max="7683" width="14.28515625" style="7" customWidth="1"/>
    <col min="7684" max="7684" width="10.42578125" style="7" customWidth="1"/>
    <col min="7685" max="7685" width="14.28515625" style="7" customWidth="1"/>
    <col min="7686" max="7686" width="20.7109375" style="7" customWidth="1"/>
    <col min="7687" max="7687" width="14.28515625" style="7" customWidth="1"/>
    <col min="7688" max="7688" width="20.7109375" style="7" customWidth="1"/>
    <col min="7689" max="7689" width="14.28515625" style="7" customWidth="1"/>
    <col min="7690" max="7690" width="20.7109375" style="7" customWidth="1"/>
    <col min="7691" max="7691" width="15" style="7" customWidth="1"/>
    <col min="7692" max="7692" width="23.5703125" style="7" customWidth="1"/>
    <col min="7693" max="7693" width="14.28515625" style="7" customWidth="1"/>
    <col min="7694" max="7694" width="23.5703125" style="7" customWidth="1"/>
    <col min="7695" max="7695" width="18.7109375" style="7" customWidth="1"/>
    <col min="7696" max="7696" width="11.5703125" style="7" bestFit="1" customWidth="1"/>
    <col min="7697" max="7936" width="9.140625" style="7"/>
    <col min="7937" max="7937" width="5.7109375" style="7" customWidth="1"/>
    <col min="7938" max="7938" width="32.28515625" style="7" customWidth="1"/>
    <col min="7939" max="7939" width="14.28515625" style="7" customWidth="1"/>
    <col min="7940" max="7940" width="10.42578125" style="7" customWidth="1"/>
    <col min="7941" max="7941" width="14.28515625" style="7" customWidth="1"/>
    <col min="7942" max="7942" width="20.7109375" style="7" customWidth="1"/>
    <col min="7943" max="7943" width="14.28515625" style="7" customWidth="1"/>
    <col min="7944" max="7944" width="20.7109375" style="7" customWidth="1"/>
    <col min="7945" max="7945" width="14.28515625" style="7" customWidth="1"/>
    <col min="7946" max="7946" width="20.7109375" style="7" customWidth="1"/>
    <col min="7947" max="7947" width="15" style="7" customWidth="1"/>
    <col min="7948" max="7948" width="23.5703125" style="7" customWidth="1"/>
    <col min="7949" max="7949" width="14.28515625" style="7" customWidth="1"/>
    <col min="7950" max="7950" width="23.5703125" style="7" customWidth="1"/>
    <col min="7951" max="7951" width="18.7109375" style="7" customWidth="1"/>
    <col min="7952" max="7952" width="11.5703125" style="7" bestFit="1" customWidth="1"/>
    <col min="7953" max="8192" width="9.140625" style="7"/>
    <col min="8193" max="8193" width="5.7109375" style="7" customWidth="1"/>
    <col min="8194" max="8194" width="32.28515625" style="7" customWidth="1"/>
    <col min="8195" max="8195" width="14.28515625" style="7" customWidth="1"/>
    <col min="8196" max="8196" width="10.42578125" style="7" customWidth="1"/>
    <col min="8197" max="8197" width="14.28515625" style="7" customWidth="1"/>
    <col min="8198" max="8198" width="20.7109375" style="7" customWidth="1"/>
    <col min="8199" max="8199" width="14.28515625" style="7" customWidth="1"/>
    <col min="8200" max="8200" width="20.7109375" style="7" customWidth="1"/>
    <col min="8201" max="8201" width="14.28515625" style="7" customWidth="1"/>
    <col min="8202" max="8202" width="20.7109375" style="7" customWidth="1"/>
    <col min="8203" max="8203" width="15" style="7" customWidth="1"/>
    <col min="8204" max="8204" width="23.5703125" style="7" customWidth="1"/>
    <col min="8205" max="8205" width="14.28515625" style="7" customWidth="1"/>
    <col min="8206" max="8206" width="23.5703125" style="7" customWidth="1"/>
    <col min="8207" max="8207" width="18.7109375" style="7" customWidth="1"/>
    <col min="8208" max="8208" width="11.5703125" style="7" bestFit="1" customWidth="1"/>
    <col min="8209" max="8448" width="9.140625" style="7"/>
    <col min="8449" max="8449" width="5.7109375" style="7" customWidth="1"/>
    <col min="8450" max="8450" width="32.28515625" style="7" customWidth="1"/>
    <col min="8451" max="8451" width="14.28515625" style="7" customWidth="1"/>
    <col min="8452" max="8452" width="10.42578125" style="7" customWidth="1"/>
    <col min="8453" max="8453" width="14.28515625" style="7" customWidth="1"/>
    <col min="8454" max="8454" width="20.7109375" style="7" customWidth="1"/>
    <col min="8455" max="8455" width="14.28515625" style="7" customWidth="1"/>
    <col min="8456" max="8456" width="20.7109375" style="7" customWidth="1"/>
    <col min="8457" max="8457" width="14.28515625" style="7" customWidth="1"/>
    <col min="8458" max="8458" width="20.7109375" style="7" customWidth="1"/>
    <col min="8459" max="8459" width="15" style="7" customWidth="1"/>
    <col min="8460" max="8460" width="23.5703125" style="7" customWidth="1"/>
    <col min="8461" max="8461" width="14.28515625" style="7" customWidth="1"/>
    <col min="8462" max="8462" width="23.5703125" style="7" customWidth="1"/>
    <col min="8463" max="8463" width="18.7109375" style="7" customWidth="1"/>
    <col min="8464" max="8464" width="11.5703125" style="7" bestFit="1" customWidth="1"/>
    <col min="8465" max="8704" width="9.140625" style="7"/>
    <col min="8705" max="8705" width="5.7109375" style="7" customWidth="1"/>
    <col min="8706" max="8706" width="32.28515625" style="7" customWidth="1"/>
    <col min="8707" max="8707" width="14.28515625" style="7" customWidth="1"/>
    <col min="8708" max="8708" width="10.42578125" style="7" customWidth="1"/>
    <col min="8709" max="8709" width="14.28515625" style="7" customWidth="1"/>
    <col min="8710" max="8710" width="20.7109375" style="7" customWidth="1"/>
    <col min="8711" max="8711" width="14.28515625" style="7" customWidth="1"/>
    <col min="8712" max="8712" width="20.7109375" style="7" customWidth="1"/>
    <col min="8713" max="8713" width="14.28515625" style="7" customWidth="1"/>
    <col min="8714" max="8714" width="20.7109375" style="7" customWidth="1"/>
    <col min="8715" max="8715" width="15" style="7" customWidth="1"/>
    <col min="8716" max="8716" width="23.5703125" style="7" customWidth="1"/>
    <col min="8717" max="8717" width="14.28515625" style="7" customWidth="1"/>
    <col min="8718" max="8718" width="23.5703125" style="7" customWidth="1"/>
    <col min="8719" max="8719" width="18.7109375" style="7" customWidth="1"/>
    <col min="8720" max="8720" width="11.5703125" style="7" bestFit="1" customWidth="1"/>
    <col min="8721" max="8960" width="9.140625" style="7"/>
    <col min="8961" max="8961" width="5.7109375" style="7" customWidth="1"/>
    <col min="8962" max="8962" width="32.28515625" style="7" customWidth="1"/>
    <col min="8963" max="8963" width="14.28515625" style="7" customWidth="1"/>
    <col min="8964" max="8964" width="10.42578125" style="7" customWidth="1"/>
    <col min="8965" max="8965" width="14.28515625" style="7" customWidth="1"/>
    <col min="8966" max="8966" width="20.7109375" style="7" customWidth="1"/>
    <col min="8967" max="8967" width="14.28515625" style="7" customWidth="1"/>
    <col min="8968" max="8968" width="20.7109375" style="7" customWidth="1"/>
    <col min="8969" max="8969" width="14.28515625" style="7" customWidth="1"/>
    <col min="8970" max="8970" width="20.7109375" style="7" customWidth="1"/>
    <col min="8971" max="8971" width="15" style="7" customWidth="1"/>
    <col min="8972" max="8972" width="23.5703125" style="7" customWidth="1"/>
    <col min="8973" max="8973" width="14.28515625" style="7" customWidth="1"/>
    <col min="8974" max="8974" width="23.5703125" style="7" customWidth="1"/>
    <col min="8975" max="8975" width="18.7109375" style="7" customWidth="1"/>
    <col min="8976" max="8976" width="11.5703125" style="7" bestFit="1" customWidth="1"/>
    <col min="8977" max="9216" width="9.140625" style="7"/>
    <col min="9217" max="9217" width="5.7109375" style="7" customWidth="1"/>
    <col min="9218" max="9218" width="32.28515625" style="7" customWidth="1"/>
    <col min="9219" max="9219" width="14.28515625" style="7" customWidth="1"/>
    <col min="9220" max="9220" width="10.42578125" style="7" customWidth="1"/>
    <col min="9221" max="9221" width="14.28515625" style="7" customWidth="1"/>
    <col min="9222" max="9222" width="20.7109375" style="7" customWidth="1"/>
    <col min="9223" max="9223" width="14.28515625" style="7" customWidth="1"/>
    <col min="9224" max="9224" width="20.7109375" style="7" customWidth="1"/>
    <col min="9225" max="9225" width="14.28515625" style="7" customWidth="1"/>
    <col min="9226" max="9226" width="20.7109375" style="7" customWidth="1"/>
    <col min="9227" max="9227" width="15" style="7" customWidth="1"/>
    <col min="9228" max="9228" width="23.5703125" style="7" customWidth="1"/>
    <col min="9229" max="9229" width="14.28515625" style="7" customWidth="1"/>
    <col min="9230" max="9230" width="23.5703125" style="7" customWidth="1"/>
    <col min="9231" max="9231" width="18.7109375" style="7" customWidth="1"/>
    <col min="9232" max="9232" width="11.5703125" style="7" bestFit="1" customWidth="1"/>
    <col min="9233" max="9472" width="9.140625" style="7"/>
    <col min="9473" max="9473" width="5.7109375" style="7" customWidth="1"/>
    <col min="9474" max="9474" width="32.28515625" style="7" customWidth="1"/>
    <col min="9475" max="9475" width="14.28515625" style="7" customWidth="1"/>
    <col min="9476" max="9476" width="10.42578125" style="7" customWidth="1"/>
    <col min="9477" max="9477" width="14.28515625" style="7" customWidth="1"/>
    <col min="9478" max="9478" width="20.7109375" style="7" customWidth="1"/>
    <col min="9479" max="9479" width="14.28515625" style="7" customWidth="1"/>
    <col min="9480" max="9480" width="20.7109375" style="7" customWidth="1"/>
    <col min="9481" max="9481" width="14.28515625" style="7" customWidth="1"/>
    <col min="9482" max="9482" width="20.7109375" style="7" customWidth="1"/>
    <col min="9483" max="9483" width="15" style="7" customWidth="1"/>
    <col min="9484" max="9484" width="23.5703125" style="7" customWidth="1"/>
    <col min="9485" max="9485" width="14.28515625" style="7" customWidth="1"/>
    <col min="9486" max="9486" width="23.5703125" style="7" customWidth="1"/>
    <col min="9487" max="9487" width="18.7109375" style="7" customWidth="1"/>
    <col min="9488" max="9488" width="11.5703125" style="7" bestFit="1" customWidth="1"/>
    <col min="9489" max="9728" width="9.140625" style="7"/>
    <col min="9729" max="9729" width="5.7109375" style="7" customWidth="1"/>
    <col min="9730" max="9730" width="32.28515625" style="7" customWidth="1"/>
    <col min="9731" max="9731" width="14.28515625" style="7" customWidth="1"/>
    <col min="9732" max="9732" width="10.42578125" style="7" customWidth="1"/>
    <col min="9733" max="9733" width="14.28515625" style="7" customWidth="1"/>
    <col min="9734" max="9734" width="20.7109375" style="7" customWidth="1"/>
    <col min="9735" max="9735" width="14.28515625" style="7" customWidth="1"/>
    <col min="9736" max="9736" width="20.7109375" style="7" customWidth="1"/>
    <col min="9737" max="9737" width="14.28515625" style="7" customWidth="1"/>
    <col min="9738" max="9738" width="20.7109375" style="7" customWidth="1"/>
    <col min="9739" max="9739" width="15" style="7" customWidth="1"/>
    <col min="9740" max="9740" width="23.5703125" style="7" customWidth="1"/>
    <col min="9741" max="9741" width="14.28515625" style="7" customWidth="1"/>
    <col min="9742" max="9742" width="23.5703125" style="7" customWidth="1"/>
    <col min="9743" max="9743" width="18.7109375" style="7" customWidth="1"/>
    <col min="9744" max="9744" width="11.5703125" style="7" bestFit="1" customWidth="1"/>
    <col min="9745" max="9984" width="9.140625" style="7"/>
    <col min="9985" max="9985" width="5.7109375" style="7" customWidth="1"/>
    <col min="9986" max="9986" width="32.28515625" style="7" customWidth="1"/>
    <col min="9987" max="9987" width="14.28515625" style="7" customWidth="1"/>
    <col min="9988" max="9988" width="10.42578125" style="7" customWidth="1"/>
    <col min="9989" max="9989" width="14.28515625" style="7" customWidth="1"/>
    <col min="9990" max="9990" width="20.7109375" style="7" customWidth="1"/>
    <col min="9991" max="9991" width="14.28515625" style="7" customWidth="1"/>
    <col min="9992" max="9992" width="20.7109375" style="7" customWidth="1"/>
    <col min="9993" max="9993" width="14.28515625" style="7" customWidth="1"/>
    <col min="9994" max="9994" width="20.7109375" style="7" customWidth="1"/>
    <col min="9995" max="9995" width="15" style="7" customWidth="1"/>
    <col min="9996" max="9996" width="23.5703125" style="7" customWidth="1"/>
    <col min="9997" max="9997" width="14.28515625" style="7" customWidth="1"/>
    <col min="9998" max="9998" width="23.5703125" style="7" customWidth="1"/>
    <col min="9999" max="9999" width="18.7109375" style="7" customWidth="1"/>
    <col min="10000" max="10000" width="11.5703125" style="7" bestFit="1" customWidth="1"/>
    <col min="10001" max="10240" width="9.140625" style="7"/>
    <col min="10241" max="10241" width="5.7109375" style="7" customWidth="1"/>
    <col min="10242" max="10242" width="32.28515625" style="7" customWidth="1"/>
    <col min="10243" max="10243" width="14.28515625" style="7" customWidth="1"/>
    <col min="10244" max="10244" width="10.42578125" style="7" customWidth="1"/>
    <col min="10245" max="10245" width="14.28515625" style="7" customWidth="1"/>
    <col min="10246" max="10246" width="20.7109375" style="7" customWidth="1"/>
    <col min="10247" max="10247" width="14.28515625" style="7" customWidth="1"/>
    <col min="10248" max="10248" width="20.7109375" style="7" customWidth="1"/>
    <col min="10249" max="10249" width="14.28515625" style="7" customWidth="1"/>
    <col min="10250" max="10250" width="20.7109375" style="7" customWidth="1"/>
    <col min="10251" max="10251" width="15" style="7" customWidth="1"/>
    <col min="10252" max="10252" width="23.5703125" style="7" customWidth="1"/>
    <col min="10253" max="10253" width="14.28515625" style="7" customWidth="1"/>
    <col min="10254" max="10254" width="23.5703125" style="7" customWidth="1"/>
    <col min="10255" max="10255" width="18.7109375" style="7" customWidth="1"/>
    <col min="10256" max="10256" width="11.5703125" style="7" bestFit="1" customWidth="1"/>
    <col min="10257" max="10496" width="9.140625" style="7"/>
    <col min="10497" max="10497" width="5.7109375" style="7" customWidth="1"/>
    <col min="10498" max="10498" width="32.28515625" style="7" customWidth="1"/>
    <col min="10499" max="10499" width="14.28515625" style="7" customWidth="1"/>
    <col min="10500" max="10500" width="10.42578125" style="7" customWidth="1"/>
    <col min="10501" max="10501" width="14.28515625" style="7" customWidth="1"/>
    <col min="10502" max="10502" width="20.7109375" style="7" customWidth="1"/>
    <col min="10503" max="10503" width="14.28515625" style="7" customWidth="1"/>
    <col min="10504" max="10504" width="20.7109375" style="7" customWidth="1"/>
    <col min="10505" max="10505" width="14.28515625" style="7" customWidth="1"/>
    <col min="10506" max="10506" width="20.7109375" style="7" customWidth="1"/>
    <col min="10507" max="10507" width="15" style="7" customWidth="1"/>
    <col min="10508" max="10508" width="23.5703125" style="7" customWidth="1"/>
    <col min="10509" max="10509" width="14.28515625" style="7" customWidth="1"/>
    <col min="10510" max="10510" width="23.5703125" style="7" customWidth="1"/>
    <col min="10511" max="10511" width="18.7109375" style="7" customWidth="1"/>
    <col min="10512" max="10512" width="11.5703125" style="7" bestFit="1" customWidth="1"/>
    <col min="10513" max="10752" width="9.140625" style="7"/>
    <col min="10753" max="10753" width="5.7109375" style="7" customWidth="1"/>
    <col min="10754" max="10754" width="32.28515625" style="7" customWidth="1"/>
    <col min="10755" max="10755" width="14.28515625" style="7" customWidth="1"/>
    <col min="10756" max="10756" width="10.42578125" style="7" customWidth="1"/>
    <col min="10757" max="10757" width="14.28515625" style="7" customWidth="1"/>
    <col min="10758" max="10758" width="20.7109375" style="7" customWidth="1"/>
    <col min="10759" max="10759" width="14.28515625" style="7" customWidth="1"/>
    <col min="10760" max="10760" width="20.7109375" style="7" customWidth="1"/>
    <col min="10761" max="10761" width="14.28515625" style="7" customWidth="1"/>
    <col min="10762" max="10762" width="20.7109375" style="7" customWidth="1"/>
    <col min="10763" max="10763" width="15" style="7" customWidth="1"/>
    <col min="10764" max="10764" width="23.5703125" style="7" customWidth="1"/>
    <col min="10765" max="10765" width="14.28515625" style="7" customWidth="1"/>
    <col min="10766" max="10766" width="23.5703125" style="7" customWidth="1"/>
    <col min="10767" max="10767" width="18.7109375" style="7" customWidth="1"/>
    <col min="10768" max="10768" width="11.5703125" style="7" bestFit="1" customWidth="1"/>
    <col min="10769" max="11008" width="9.140625" style="7"/>
    <col min="11009" max="11009" width="5.7109375" style="7" customWidth="1"/>
    <col min="11010" max="11010" width="32.28515625" style="7" customWidth="1"/>
    <col min="11011" max="11011" width="14.28515625" style="7" customWidth="1"/>
    <col min="11012" max="11012" width="10.42578125" style="7" customWidth="1"/>
    <col min="11013" max="11013" width="14.28515625" style="7" customWidth="1"/>
    <col min="11014" max="11014" width="20.7109375" style="7" customWidth="1"/>
    <col min="11015" max="11015" width="14.28515625" style="7" customWidth="1"/>
    <col min="11016" max="11016" width="20.7109375" style="7" customWidth="1"/>
    <col min="11017" max="11017" width="14.28515625" style="7" customWidth="1"/>
    <col min="11018" max="11018" width="20.7109375" style="7" customWidth="1"/>
    <col min="11019" max="11019" width="15" style="7" customWidth="1"/>
    <col min="11020" max="11020" width="23.5703125" style="7" customWidth="1"/>
    <col min="11021" max="11021" width="14.28515625" style="7" customWidth="1"/>
    <col min="11022" max="11022" width="23.5703125" style="7" customWidth="1"/>
    <col min="11023" max="11023" width="18.7109375" style="7" customWidth="1"/>
    <col min="11024" max="11024" width="11.5703125" style="7" bestFit="1" customWidth="1"/>
    <col min="11025" max="11264" width="9.140625" style="7"/>
    <col min="11265" max="11265" width="5.7109375" style="7" customWidth="1"/>
    <col min="11266" max="11266" width="32.28515625" style="7" customWidth="1"/>
    <col min="11267" max="11267" width="14.28515625" style="7" customWidth="1"/>
    <col min="11268" max="11268" width="10.42578125" style="7" customWidth="1"/>
    <col min="11269" max="11269" width="14.28515625" style="7" customWidth="1"/>
    <col min="11270" max="11270" width="20.7109375" style="7" customWidth="1"/>
    <col min="11271" max="11271" width="14.28515625" style="7" customWidth="1"/>
    <col min="11272" max="11272" width="20.7109375" style="7" customWidth="1"/>
    <col min="11273" max="11273" width="14.28515625" style="7" customWidth="1"/>
    <col min="11274" max="11274" width="20.7109375" style="7" customWidth="1"/>
    <col min="11275" max="11275" width="15" style="7" customWidth="1"/>
    <col min="11276" max="11276" width="23.5703125" style="7" customWidth="1"/>
    <col min="11277" max="11277" width="14.28515625" style="7" customWidth="1"/>
    <col min="11278" max="11278" width="23.5703125" style="7" customWidth="1"/>
    <col min="11279" max="11279" width="18.7109375" style="7" customWidth="1"/>
    <col min="11280" max="11280" width="11.5703125" style="7" bestFit="1" customWidth="1"/>
    <col min="11281" max="11520" width="9.140625" style="7"/>
    <col min="11521" max="11521" width="5.7109375" style="7" customWidth="1"/>
    <col min="11522" max="11522" width="32.28515625" style="7" customWidth="1"/>
    <col min="11523" max="11523" width="14.28515625" style="7" customWidth="1"/>
    <col min="11524" max="11524" width="10.42578125" style="7" customWidth="1"/>
    <col min="11525" max="11525" width="14.28515625" style="7" customWidth="1"/>
    <col min="11526" max="11526" width="20.7109375" style="7" customWidth="1"/>
    <col min="11527" max="11527" width="14.28515625" style="7" customWidth="1"/>
    <col min="11528" max="11528" width="20.7109375" style="7" customWidth="1"/>
    <col min="11529" max="11529" width="14.28515625" style="7" customWidth="1"/>
    <col min="11530" max="11530" width="20.7109375" style="7" customWidth="1"/>
    <col min="11531" max="11531" width="15" style="7" customWidth="1"/>
    <col min="11532" max="11532" width="23.5703125" style="7" customWidth="1"/>
    <col min="11533" max="11533" width="14.28515625" style="7" customWidth="1"/>
    <col min="11534" max="11534" width="23.5703125" style="7" customWidth="1"/>
    <col min="11535" max="11535" width="18.7109375" style="7" customWidth="1"/>
    <col min="11536" max="11536" width="11.5703125" style="7" bestFit="1" customWidth="1"/>
    <col min="11537" max="11776" width="9.140625" style="7"/>
    <col min="11777" max="11777" width="5.7109375" style="7" customWidth="1"/>
    <col min="11778" max="11778" width="32.28515625" style="7" customWidth="1"/>
    <col min="11779" max="11779" width="14.28515625" style="7" customWidth="1"/>
    <col min="11780" max="11780" width="10.42578125" style="7" customWidth="1"/>
    <col min="11781" max="11781" width="14.28515625" style="7" customWidth="1"/>
    <col min="11782" max="11782" width="20.7109375" style="7" customWidth="1"/>
    <col min="11783" max="11783" width="14.28515625" style="7" customWidth="1"/>
    <col min="11784" max="11784" width="20.7109375" style="7" customWidth="1"/>
    <col min="11785" max="11785" width="14.28515625" style="7" customWidth="1"/>
    <col min="11786" max="11786" width="20.7109375" style="7" customWidth="1"/>
    <col min="11787" max="11787" width="15" style="7" customWidth="1"/>
    <col min="11788" max="11788" width="23.5703125" style="7" customWidth="1"/>
    <col min="11789" max="11789" width="14.28515625" style="7" customWidth="1"/>
    <col min="11790" max="11790" width="23.5703125" style="7" customWidth="1"/>
    <col min="11791" max="11791" width="18.7109375" style="7" customWidth="1"/>
    <col min="11792" max="11792" width="11.5703125" style="7" bestFit="1" customWidth="1"/>
    <col min="11793" max="12032" width="9.140625" style="7"/>
    <col min="12033" max="12033" width="5.7109375" style="7" customWidth="1"/>
    <col min="12034" max="12034" width="32.28515625" style="7" customWidth="1"/>
    <col min="12035" max="12035" width="14.28515625" style="7" customWidth="1"/>
    <col min="12036" max="12036" width="10.42578125" style="7" customWidth="1"/>
    <col min="12037" max="12037" width="14.28515625" style="7" customWidth="1"/>
    <col min="12038" max="12038" width="20.7109375" style="7" customWidth="1"/>
    <col min="12039" max="12039" width="14.28515625" style="7" customWidth="1"/>
    <col min="12040" max="12040" width="20.7109375" style="7" customWidth="1"/>
    <col min="12041" max="12041" width="14.28515625" style="7" customWidth="1"/>
    <col min="12042" max="12042" width="20.7109375" style="7" customWidth="1"/>
    <col min="12043" max="12043" width="15" style="7" customWidth="1"/>
    <col min="12044" max="12044" width="23.5703125" style="7" customWidth="1"/>
    <col min="12045" max="12045" width="14.28515625" style="7" customWidth="1"/>
    <col min="12046" max="12046" width="23.5703125" style="7" customWidth="1"/>
    <col min="12047" max="12047" width="18.7109375" style="7" customWidth="1"/>
    <col min="12048" max="12048" width="11.5703125" style="7" bestFit="1" customWidth="1"/>
    <col min="12049" max="12288" width="9.140625" style="7"/>
    <col min="12289" max="12289" width="5.7109375" style="7" customWidth="1"/>
    <col min="12290" max="12290" width="32.28515625" style="7" customWidth="1"/>
    <col min="12291" max="12291" width="14.28515625" style="7" customWidth="1"/>
    <col min="12292" max="12292" width="10.42578125" style="7" customWidth="1"/>
    <col min="12293" max="12293" width="14.28515625" style="7" customWidth="1"/>
    <col min="12294" max="12294" width="20.7109375" style="7" customWidth="1"/>
    <col min="12295" max="12295" width="14.28515625" style="7" customWidth="1"/>
    <col min="12296" max="12296" width="20.7109375" style="7" customWidth="1"/>
    <col min="12297" max="12297" width="14.28515625" style="7" customWidth="1"/>
    <col min="12298" max="12298" width="20.7109375" style="7" customWidth="1"/>
    <col min="12299" max="12299" width="15" style="7" customWidth="1"/>
    <col min="12300" max="12300" width="23.5703125" style="7" customWidth="1"/>
    <col min="12301" max="12301" width="14.28515625" style="7" customWidth="1"/>
    <col min="12302" max="12302" width="23.5703125" style="7" customWidth="1"/>
    <col min="12303" max="12303" width="18.7109375" style="7" customWidth="1"/>
    <col min="12304" max="12304" width="11.5703125" style="7" bestFit="1" customWidth="1"/>
    <col min="12305" max="12544" width="9.140625" style="7"/>
    <col min="12545" max="12545" width="5.7109375" style="7" customWidth="1"/>
    <col min="12546" max="12546" width="32.28515625" style="7" customWidth="1"/>
    <col min="12547" max="12547" width="14.28515625" style="7" customWidth="1"/>
    <col min="12548" max="12548" width="10.42578125" style="7" customWidth="1"/>
    <col min="12549" max="12549" width="14.28515625" style="7" customWidth="1"/>
    <col min="12550" max="12550" width="20.7109375" style="7" customWidth="1"/>
    <col min="12551" max="12551" width="14.28515625" style="7" customWidth="1"/>
    <col min="12552" max="12552" width="20.7109375" style="7" customWidth="1"/>
    <col min="12553" max="12553" width="14.28515625" style="7" customWidth="1"/>
    <col min="12554" max="12554" width="20.7109375" style="7" customWidth="1"/>
    <col min="12555" max="12555" width="15" style="7" customWidth="1"/>
    <col min="12556" max="12556" width="23.5703125" style="7" customWidth="1"/>
    <col min="12557" max="12557" width="14.28515625" style="7" customWidth="1"/>
    <col min="12558" max="12558" width="23.5703125" style="7" customWidth="1"/>
    <col min="12559" max="12559" width="18.7109375" style="7" customWidth="1"/>
    <col min="12560" max="12560" width="11.5703125" style="7" bestFit="1" customWidth="1"/>
    <col min="12561" max="12800" width="9.140625" style="7"/>
    <col min="12801" max="12801" width="5.7109375" style="7" customWidth="1"/>
    <col min="12802" max="12802" width="32.28515625" style="7" customWidth="1"/>
    <col min="12803" max="12803" width="14.28515625" style="7" customWidth="1"/>
    <col min="12804" max="12804" width="10.42578125" style="7" customWidth="1"/>
    <col min="12805" max="12805" width="14.28515625" style="7" customWidth="1"/>
    <col min="12806" max="12806" width="20.7109375" style="7" customWidth="1"/>
    <col min="12807" max="12807" width="14.28515625" style="7" customWidth="1"/>
    <col min="12808" max="12808" width="20.7109375" style="7" customWidth="1"/>
    <col min="12809" max="12809" width="14.28515625" style="7" customWidth="1"/>
    <col min="12810" max="12810" width="20.7109375" style="7" customWidth="1"/>
    <col min="12811" max="12811" width="15" style="7" customWidth="1"/>
    <col min="12812" max="12812" width="23.5703125" style="7" customWidth="1"/>
    <col min="12813" max="12813" width="14.28515625" style="7" customWidth="1"/>
    <col min="12814" max="12814" width="23.5703125" style="7" customWidth="1"/>
    <col min="12815" max="12815" width="18.7109375" style="7" customWidth="1"/>
    <col min="12816" max="12816" width="11.5703125" style="7" bestFit="1" customWidth="1"/>
    <col min="12817" max="13056" width="9.140625" style="7"/>
    <col min="13057" max="13057" width="5.7109375" style="7" customWidth="1"/>
    <col min="13058" max="13058" width="32.28515625" style="7" customWidth="1"/>
    <col min="13059" max="13059" width="14.28515625" style="7" customWidth="1"/>
    <col min="13060" max="13060" width="10.42578125" style="7" customWidth="1"/>
    <col min="13061" max="13061" width="14.28515625" style="7" customWidth="1"/>
    <col min="13062" max="13062" width="20.7109375" style="7" customWidth="1"/>
    <col min="13063" max="13063" width="14.28515625" style="7" customWidth="1"/>
    <col min="13064" max="13064" width="20.7109375" style="7" customWidth="1"/>
    <col min="13065" max="13065" width="14.28515625" style="7" customWidth="1"/>
    <col min="13066" max="13066" width="20.7109375" style="7" customWidth="1"/>
    <col min="13067" max="13067" width="15" style="7" customWidth="1"/>
    <col min="13068" max="13068" width="23.5703125" style="7" customWidth="1"/>
    <col min="13069" max="13069" width="14.28515625" style="7" customWidth="1"/>
    <col min="13070" max="13070" width="23.5703125" style="7" customWidth="1"/>
    <col min="13071" max="13071" width="18.7109375" style="7" customWidth="1"/>
    <col min="13072" max="13072" width="11.5703125" style="7" bestFit="1" customWidth="1"/>
    <col min="13073" max="13312" width="9.140625" style="7"/>
    <col min="13313" max="13313" width="5.7109375" style="7" customWidth="1"/>
    <col min="13314" max="13314" width="32.28515625" style="7" customWidth="1"/>
    <col min="13315" max="13315" width="14.28515625" style="7" customWidth="1"/>
    <col min="13316" max="13316" width="10.42578125" style="7" customWidth="1"/>
    <col min="13317" max="13317" width="14.28515625" style="7" customWidth="1"/>
    <col min="13318" max="13318" width="20.7109375" style="7" customWidth="1"/>
    <col min="13319" max="13319" width="14.28515625" style="7" customWidth="1"/>
    <col min="13320" max="13320" width="20.7109375" style="7" customWidth="1"/>
    <col min="13321" max="13321" width="14.28515625" style="7" customWidth="1"/>
    <col min="13322" max="13322" width="20.7109375" style="7" customWidth="1"/>
    <col min="13323" max="13323" width="15" style="7" customWidth="1"/>
    <col min="13324" max="13324" width="23.5703125" style="7" customWidth="1"/>
    <col min="13325" max="13325" width="14.28515625" style="7" customWidth="1"/>
    <col min="13326" max="13326" width="23.5703125" style="7" customWidth="1"/>
    <col min="13327" max="13327" width="18.7109375" style="7" customWidth="1"/>
    <col min="13328" max="13328" width="11.5703125" style="7" bestFit="1" customWidth="1"/>
    <col min="13329" max="13568" width="9.140625" style="7"/>
    <col min="13569" max="13569" width="5.7109375" style="7" customWidth="1"/>
    <col min="13570" max="13570" width="32.28515625" style="7" customWidth="1"/>
    <col min="13571" max="13571" width="14.28515625" style="7" customWidth="1"/>
    <col min="13572" max="13572" width="10.42578125" style="7" customWidth="1"/>
    <col min="13573" max="13573" width="14.28515625" style="7" customWidth="1"/>
    <col min="13574" max="13574" width="20.7109375" style="7" customWidth="1"/>
    <col min="13575" max="13575" width="14.28515625" style="7" customWidth="1"/>
    <col min="13576" max="13576" width="20.7109375" style="7" customWidth="1"/>
    <col min="13577" max="13577" width="14.28515625" style="7" customWidth="1"/>
    <col min="13578" max="13578" width="20.7109375" style="7" customWidth="1"/>
    <col min="13579" max="13579" width="15" style="7" customWidth="1"/>
    <col min="13580" max="13580" width="23.5703125" style="7" customWidth="1"/>
    <col min="13581" max="13581" width="14.28515625" style="7" customWidth="1"/>
    <col min="13582" max="13582" width="23.5703125" style="7" customWidth="1"/>
    <col min="13583" max="13583" width="18.7109375" style="7" customWidth="1"/>
    <col min="13584" max="13584" width="11.5703125" style="7" bestFit="1" customWidth="1"/>
    <col min="13585" max="13824" width="9.140625" style="7"/>
    <col min="13825" max="13825" width="5.7109375" style="7" customWidth="1"/>
    <col min="13826" max="13826" width="32.28515625" style="7" customWidth="1"/>
    <col min="13827" max="13827" width="14.28515625" style="7" customWidth="1"/>
    <col min="13828" max="13828" width="10.42578125" style="7" customWidth="1"/>
    <col min="13829" max="13829" width="14.28515625" style="7" customWidth="1"/>
    <col min="13830" max="13830" width="20.7109375" style="7" customWidth="1"/>
    <col min="13831" max="13831" width="14.28515625" style="7" customWidth="1"/>
    <col min="13832" max="13832" width="20.7109375" style="7" customWidth="1"/>
    <col min="13833" max="13833" width="14.28515625" style="7" customWidth="1"/>
    <col min="13834" max="13834" width="20.7109375" style="7" customWidth="1"/>
    <col min="13835" max="13835" width="15" style="7" customWidth="1"/>
    <col min="13836" max="13836" width="23.5703125" style="7" customWidth="1"/>
    <col min="13837" max="13837" width="14.28515625" style="7" customWidth="1"/>
    <col min="13838" max="13838" width="23.5703125" style="7" customWidth="1"/>
    <col min="13839" max="13839" width="18.7109375" style="7" customWidth="1"/>
    <col min="13840" max="13840" width="11.5703125" style="7" bestFit="1" customWidth="1"/>
    <col min="13841" max="14080" width="9.140625" style="7"/>
    <col min="14081" max="14081" width="5.7109375" style="7" customWidth="1"/>
    <col min="14082" max="14082" width="32.28515625" style="7" customWidth="1"/>
    <col min="14083" max="14083" width="14.28515625" style="7" customWidth="1"/>
    <col min="14084" max="14084" width="10.42578125" style="7" customWidth="1"/>
    <col min="14085" max="14085" width="14.28515625" style="7" customWidth="1"/>
    <col min="14086" max="14086" width="20.7109375" style="7" customWidth="1"/>
    <col min="14087" max="14087" width="14.28515625" style="7" customWidth="1"/>
    <col min="14088" max="14088" width="20.7109375" style="7" customWidth="1"/>
    <col min="14089" max="14089" width="14.28515625" style="7" customWidth="1"/>
    <col min="14090" max="14090" width="20.7109375" style="7" customWidth="1"/>
    <col min="14091" max="14091" width="15" style="7" customWidth="1"/>
    <col min="14092" max="14092" width="23.5703125" style="7" customWidth="1"/>
    <col min="14093" max="14093" width="14.28515625" style="7" customWidth="1"/>
    <col min="14094" max="14094" width="23.5703125" style="7" customWidth="1"/>
    <col min="14095" max="14095" width="18.7109375" style="7" customWidth="1"/>
    <col min="14096" max="14096" width="11.5703125" style="7" bestFit="1" customWidth="1"/>
    <col min="14097" max="14336" width="9.140625" style="7"/>
    <col min="14337" max="14337" width="5.7109375" style="7" customWidth="1"/>
    <col min="14338" max="14338" width="32.28515625" style="7" customWidth="1"/>
    <col min="14339" max="14339" width="14.28515625" style="7" customWidth="1"/>
    <col min="14340" max="14340" width="10.42578125" style="7" customWidth="1"/>
    <col min="14341" max="14341" width="14.28515625" style="7" customWidth="1"/>
    <col min="14342" max="14342" width="20.7109375" style="7" customWidth="1"/>
    <col min="14343" max="14343" width="14.28515625" style="7" customWidth="1"/>
    <col min="14344" max="14344" width="20.7109375" style="7" customWidth="1"/>
    <col min="14345" max="14345" width="14.28515625" style="7" customWidth="1"/>
    <col min="14346" max="14346" width="20.7109375" style="7" customWidth="1"/>
    <col min="14347" max="14347" width="15" style="7" customWidth="1"/>
    <col min="14348" max="14348" width="23.5703125" style="7" customWidth="1"/>
    <col min="14349" max="14349" width="14.28515625" style="7" customWidth="1"/>
    <col min="14350" max="14350" width="23.5703125" style="7" customWidth="1"/>
    <col min="14351" max="14351" width="18.7109375" style="7" customWidth="1"/>
    <col min="14352" max="14352" width="11.5703125" style="7" bestFit="1" customWidth="1"/>
    <col min="14353" max="14592" width="9.140625" style="7"/>
    <col min="14593" max="14593" width="5.7109375" style="7" customWidth="1"/>
    <col min="14594" max="14594" width="32.28515625" style="7" customWidth="1"/>
    <col min="14595" max="14595" width="14.28515625" style="7" customWidth="1"/>
    <col min="14596" max="14596" width="10.42578125" style="7" customWidth="1"/>
    <col min="14597" max="14597" width="14.28515625" style="7" customWidth="1"/>
    <col min="14598" max="14598" width="20.7109375" style="7" customWidth="1"/>
    <col min="14599" max="14599" width="14.28515625" style="7" customWidth="1"/>
    <col min="14600" max="14600" width="20.7109375" style="7" customWidth="1"/>
    <col min="14601" max="14601" width="14.28515625" style="7" customWidth="1"/>
    <col min="14602" max="14602" width="20.7109375" style="7" customWidth="1"/>
    <col min="14603" max="14603" width="15" style="7" customWidth="1"/>
    <col min="14604" max="14604" width="23.5703125" style="7" customWidth="1"/>
    <col min="14605" max="14605" width="14.28515625" style="7" customWidth="1"/>
    <col min="14606" max="14606" width="23.5703125" style="7" customWidth="1"/>
    <col min="14607" max="14607" width="18.7109375" style="7" customWidth="1"/>
    <col min="14608" max="14608" width="11.5703125" style="7" bestFit="1" customWidth="1"/>
    <col min="14609" max="14848" width="9.140625" style="7"/>
    <col min="14849" max="14849" width="5.7109375" style="7" customWidth="1"/>
    <col min="14850" max="14850" width="32.28515625" style="7" customWidth="1"/>
    <col min="14851" max="14851" width="14.28515625" style="7" customWidth="1"/>
    <col min="14852" max="14852" width="10.42578125" style="7" customWidth="1"/>
    <col min="14853" max="14853" width="14.28515625" style="7" customWidth="1"/>
    <col min="14854" max="14854" width="20.7109375" style="7" customWidth="1"/>
    <col min="14855" max="14855" width="14.28515625" style="7" customWidth="1"/>
    <col min="14856" max="14856" width="20.7109375" style="7" customWidth="1"/>
    <col min="14857" max="14857" width="14.28515625" style="7" customWidth="1"/>
    <col min="14858" max="14858" width="20.7109375" style="7" customWidth="1"/>
    <col min="14859" max="14859" width="15" style="7" customWidth="1"/>
    <col min="14860" max="14860" width="23.5703125" style="7" customWidth="1"/>
    <col min="14861" max="14861" width="14.28515625" style="7" customWidth="1"/>
    <col min="14862" max="14862" width="23.5703125" style="7" customWidth="1"/>
    <col min="14863" max="14863" width="18.7109375" style="7" customWidth="1"/>
    <col min="14864" max="14864" width="11.5703125" style="7" bestFit="1" customWidth="1"/>
    <col min="14865" max="15104" width="9.140625" style="7"/>
    <col min="15105" max="15105" width="5.7109375" style="7" customWidth="1"/>
    <col min="15106" max="15106" width="32.28515625" style="7" customWidth="1"/>
    <col min="15107" max="15107" width="14.28515625" style="7" customWidth="1"/>
    <col min="15108" max="15108" width="10.42578125" style="7" customWidth="1"/>
    <col min="15109" max="15109" width="14.28515625" style="7" customWidth="1"/>
    <col min="15110" max="15110" width="20.7109375" style="7" customWidth="1"/>
    <col min="15111" max="15111" width="14.28515625" style="7" customWidth="1"/>
    <col min="15112" max="15112" width="20.7109375" style="7" customWidth="1"/>
    <col min="15113" max="15113" width="14.28515625" style="7" customWidth="1"/>
    <col min="15114" max="15114" width="20.7109375" style="7" customWidth="1"/>
    <col min="15115" max="15115" width="15" style="7" customWidth="1"/>
    <col min="15116" max="15116" width="23.5703125" style="7" customWidth="1"/>
    <col min="15117" max="15117" width="14.28515625" style="7" customWidth="1"/>
    <col min="15118" max="15118" width="23.5703125" style="7" customWidth="1"/>
    <col min="15119" max="15119" width="18.7109375" style="7" customWidth="1"/>
    <col min="15120" max="15120" width="11.5703125" style="7" bestFit="1" customWidth="1"/>
    <col min="15121" max="15360" width="9.140625" style="7"/>
    <col min="15361" max="15361" width="5.7109375" style="7" customWidth="1"/>
    <col min="15362" max="15362" width="32.28515625" style="7" customWidth="1"/>
    <col min="15363" max="15363" width="14.28515625" style="7" customWidth="1"/>
    <col min="15364" max="15364" width="10.42578125" style="7" customWidth="1"/>
    <col min="15365" max="15365" width="14.28515625" style="7" customWidth="1"/>
    <col min="15366" max="15366" width="20.7109375" style="7" customWidth="1"/>
    <col min="15367" max="15367" width="14.28515625" style="7" customWidth="1"/>
    <col min="15368" max="15368" width="20.7109375" style="7" customWidth="1"/>
    <col min="15369" max="15369" width="14.28515625" style="7" customWidth="1"/>
    <col min="15370" max="15370" width="20.7109375" style="7" customWidth="1"/>
    <col min="15371" max="15371" width="15" style="7" customWidth="1"/>
    <col min="15372" max="15372" width="23.5703125" style="7" customWidth="1"/>
    <col min="15373" max="15373" width="14.28515625" style="7" customWidth="1"/>
    <col min="15374" max="15374" width="23.5703125" style="7" customWidth="1"/>
    <col min="15375" max="15375" width="18.7109375" style="7" customWidth="1"/>
    <col min="15376" max="15376" width="11.5703125" style="7" bestFit="1" customWidth="1"/>
    <col min="15377" max="15616" width="9.140625" style="7"/>
    <col min="15617" max="15617" width="5.7109375" style="7" customWidth="1"/>
    <col min="15618" max="15618" width="32.28515625" style="7" customWidth="1"/>
    <col min="15619" max="15619" width="14.28515625" style="7" customWidth="1"/>
    <col min="15620" max="15620" width="10.42578125" style="7" customWidth="1"/>
    <col min="15621" max="15621" width="14.28515625" style="7" customWidth="1"/>
    <col min="15622" max="15622" width="20.7109375" style="7" customWidth="1"/>
    <col min="15623" max="15623" width="14.28515625" style="7" customWidth="1"/>
    <col min="15624" max="15624" width="20.7109375" style="7" customWidth="1"/>
    <col min="15625" max="15625" width="14.28515625" style="7" customWidth="1"/>
    <col min="15626" max="15626" width="20.7109375" style="7" customWidth="1"/>
    <col min="15627" max="15627" width="15" style="7" customWidth="1"/>
    <col min="15628" max="15628" width="23.5703125" style="7" customWidth="1"/>
    <col min="15629" max="15629" width="14.28515625" style="7" customWidth="1"/>
    <col min="15630" max="15630" width="23.5703125" style="7" customWidth="1"/>
    <col min="15631" max="15631" width="18.7109375" style="7" customWidth="1"/>
    <col min="15632" max="15632" width="11.5703125" style="7" bestFit="1" customWidth="1"/>
    <col min="15633" max="15872" width="9.140625" style="7"/>
    <col min="15873" max="15873" width="5.7109375" style="7" customWidth="1"/>
    <col min="15874" max="15874" width="32.28515625" style="7" customWidth="1"/>
    <col min="15875" max="15875" width="14.28515625" style="7" customWidth="1"/>
    <col min="15876" max="15876" width="10.42578125" style="7" customWidth="1"/>
    <col min="15877" max="15877" width="14.28515625" style="7" customWidth="1"/>
    <col min="15878" max="15878" width="20.7109375" style="7" customWidth="1"/>
    <col min="15879" max="15879" width="14.28515625" style="7" customWidth="1"/>
    <col min="15880" max="15880" width="20.7109375" style="7" customWidth="1"/>
    <col min="15881" max="15881" width="14.28515625" style="7" customWidth="1"/>
    <col min="15882" max="15882" width="20.7109375" style="7" customWidth="1"/>
    <col min="15883" max="15883" width="15" style="7" customWidth="1"/>
    <col min="15884" max="15884" width="23.5703125" style="7" customWidth="1"/>
    <col min="15885" max="15885" width="14.28515625" style="7" customWidth="1"/>
    <col min="15886" max="15886" width="23.5703125" style="7" customWidth="1"/>
    <col min="15887" max="15887" width="18.7109375" style="7" customWidth="1"/>
    <col min="15888" max="15888" width="11.5703125" style="7" bestFit="1" customWidth="1"/>
    <col min="15889" max="16128" width="9.140625" style="7"/>
    <col min="16129" max="16129" width="5.7109375" style="7" customWidth="1"/>
    <col min="16130" max="16130" width="32.28515625" style="7" customWidth="1"/>
    <col min="16131" max="16131" width="14.28515625" style="7" customWidth="1"/>
    <col min="16132" max="16132" width="10.42578125" style="7" customWidth="1"/>
    <col min="16133" max="16133" width="14.28515625" style="7" customWidth="1"/>
    <col min="16134" max="16134" width="20.7109375" style="7" customWidth="1"/>
    <col min="16135" max="16135" width="14.28515625" style="7" customWidth="1"/>
    <col min="16136" max="16136" width="20.7109375" style="7" customWidth="1"/>
    <col min="16137" max="16137" width="14.28515625" style="7" customWidth="1"/>
    <col min="16138" max="16138" width="20.7109375" style="7" customWidth="1"/>
    <col min="16139" max="16139" width="15" style="7" customWidth="1"/>
    <col min="16140" max="16140" width="23.5703125" style="7" customWidth="1"/>
    <col min="16141" max="16141" width="14.28515625" style="7" customWidth="1"/>
    <col min="16142" max="16142" width="23.5703125" style="7" customWidth="1"/>
    <col min="16143" max="16143" width="18.7109375" style="7" customWidth="1"/>
    <col min="16144" max="16144" width="11.5703125" style="7" bestFit="1" customWidth="1"/>
    <col min="16145" max="16384" width="9.140625" style="7"/>
  </cols>
  <sheetData>
    <row r="1" spans="1:14" x14ac:dyDescent="0.2">
      <c r="A1" s="7">
        <v>0</v>
      </c>
      <c r="B1" s="7">
        <v>0</v>
      </c>
      <c r="C1" s="7">
        <v>0</v>
      </c>
      <c r="D1" s="7">
        <v>0</v>
      </c>
    </row>
    <row r="2" spans="1:14" x14ac:dyDescent="0.2">
      <c r="A2" s="7">
        <v>1375</v>
      </c>
      <c r="B2" s="7">
        <v>0</v>
      </c>
      <c r="C2" s="7">
        <v>1375</v>
      </c>
      <c r="D2" s="7">
        <v>0</v>
      </c>
    </row>
    <row r="3" spans="1:14" x14ac:dyDescent="0.2">
      <c r="A3" s="7">
        <v>1375</v>
      </c>
      <c r="B3" s="7">
        <v>25</v>
      </c>
      <c r="C3" s="7">
        <v>1375</v>
      </c>
      <c r="D3" s="7">
        <v>25</v>
      </c>
    </row>
    <row r="4" spans="1:14" x14ac:dyDescent="0.2">
      <c r="A4" s="7">
        <v>0</v>
      </c>
      <c r="B4" s="7">
        <v>25</v>
      </c>
      <c r="C4" s="7">
        <v>0</v>
      </c>
      <c r="D4" s="7">
        <v>25</v>
      </c>
    </row>
    <row r="5" spans="1:14" x14ac:dyDescent="0.2">
      <c r="C5" s="7">
        <v>0</v>
      </c>
      <c r="D5" s="7">
        <v>0</v>
      </c>
    </row>
    <row r="6" spans="1:14" ht="15.75" thickBot="1" x14ac:dyDescent="0.25">
      <c r="B6" s="8"/>
      <c r="C6" s="9"/>
      <c r="D6" s="8"/>
      <c r="E6" s="8"/>
      <c r="F6" s="8"/>
      <c r="G6" s="8"/>
    </row>
    <row r="7" spans="1:14" ht="16.5" thickBot="1" x14ac:dyDescent="0.3">
      <c r="B7" s="10" t="s">
        <v>25</v>
      </c>
      <c r="C7" s="11">
        <f>C8*C9</f>
        <v>1375</v>
      </c>
      <c r="D7" s="8" t="s">
        <v>5</v>
      </c>
      <c r="E7" s="8"/>
      <c r="F7" s="8"/>
      <c r="G7" s="8"/>
    </row>
    <row r="8" spans="1:14" ht="15" x14ac:dyDescent="0.2">
      <c r="B8" s="10" t="s">
        <v>26</v>
      </c>
      <c r="C8" s="12">
        <v>25</v>
      </c>
      <c r="D8" s="8" t="s">
        <v>27</v>
      </c>
      <c r="E8" s="8"/>
      <c r="F8" s="8" t="s">
        <v>28</v>
      </c>
      <c r="G8" s="8"/>
    </row>
    <row r="9" spans="1:14" ht="15" x14ac:dyDescent="0.2">
      <c r="B9" s="10" t="s">
        <v>29</v>
      </c>
      <c r="C9" s="12">
        <v>55</v>
      </c>
      <c r="D9" s="8" t="s">
        <v>27</v>
      </c>
      <c r="E9" s="8"/>
      <c r="F9" s="13" t="s">
        <v>30</v>
      </c>
      <c r="G9" s="8"/>
    </row>
    <row r="10" spans="1:14" ht="15" x14ac:dyDescent="0.2">
      <c r="B10" s="10" t="s">
        <v>31</v>
      </c>
      <c r="C10" s="14">
        <v>22</v>
      </c>
      <c r="D10" s="8"/>
      <c r="E10" s="8"/>
      <c r="F10" s="13"/>
      <c r="G10" s="8"/>
    </row>
    <row r="11" spans="1:14" ht="15" x14ac:dyDescent="0.2">
      <c r="B11" s="10" t="s">
        <v>32</v>
      </c>
      <c r="C11" s="14">
        <v>195</v>
      </c>
      <c r="D11" s="8"/>
      <c r="E11" s="8"/>
      <c r="F11" s="13"/>
      <c r="G11" s="8"/>
    </row>
    <row r="12" spans="1:14" ht="15.75" thickBot="1" x14ac:dyDescent="0.25">
      <c r="B12" s="10"/>
      <c r="C12" s="9"/>
      <c r="D12" s="8"/>
      <c r="E12" s="8"/>
      <c r="F12" s="13" t="s">
        <v>33</v>
      </c>
      <c r="G12" s="8"/>
    </row>
    <row r="13" spans="1:14" ht="16.5" thickBot="1" x14ac:dyDescent="0.3">
      <c r="B13" s="10" t="s">
        <v>34</v>
      </c>
      <c r="C13" s="15">
        <f>N136/C7</f>
        <v>866.66427590995522</v>
      </c>
      <c r="D13" s="8" t="s">
        <v>35</v>
      </c>
      <c r="E13" s="8"/>
      <c r="F13" s="8"/>
      <c r="G13" s="8"/>
    </row>
    <row r="14" spans="1:14" ht="13.5" thickBot="1" x14ac:dyDescent="0.25"/>
    <row r="15" spans="1:14" s="16" customFormat="1" ht="13.5" customHeight="1" thickBot="1" x14ac:dyDescent="0.25">
      <c r="A15" s="268" t="s">
        <v>36</v>
      </c>
      <c r="B15" s="273" t="s">
        <v>37</v>
      </c>
      <c r="C15" s="275" t="s">
        <v>38</v>
      </c>
      <c r="D15" s="277" t="s">
        <v>39</v>
      </c>
      <c r="E15" s="268" t="s">
        <v>40</v>
      </c>
      <c r="F15" s="269"/>
      <c r="G15" s="268" t="s">
        <v>41</v>
      </c>
      <c r="H15" s="269"/>
      <c r="I15" s="268" t="s">
        <v>42</v>
      </c>
      <c r="J15" s="269"/>
      <c r="K15" s="270" t="s">
        <v>43</v>
      </c>
      <c r="L15" s="271"/>
      <c r="M15" s="250" t="s">
        <v>44</v>
      </c>
      <c r="N15" s="252"/>
    </row>
    <row r="16" spans="1:14" s="16" customFormat="1" ht="30.75" thickBot="1" x14ac:dyDescent="0.25">
      <c r="A16" s="272"/>
      <c r="B16" s="274"/>
      <c r="C16" s="276"/>
      <c r="D16" s="278"/>
      <c r="E16" s="17" t="s">
        <v>45</v>
      </c>
      <c r="F16" s="18" t="s">
        <v>46</v>
      </c>
      <c r="G16" s="17" t="s">
        <v>45</v>
      </c>
      <c r="H16" s="18" t="s">
        <v>47</v>
      </c>
      <c r="I16" s="17" t="s">
        <v>45</v>
      </c>
      <c r="J16" s="18" t="s">
        <v>47</v>
      </c>
      <c r="K16" s="17" t="s">
        <v>45</v>
      </c>
      <c r="L16" s="19" t="s">
        <v>47</v>
      </c>
      <c r="M16" s="20" t="s">
        <v>45</v>
      </c>
      <c r="N16" s="21" t="s">
        <v>47</v>
      </c>
    </row>
    <row r="17" spans="1:14" ht="15" x14ac:dyDescent="0.2">
      <c r="A17" s="22">
        <v>1</v>
      </c>
      <c r="B17" s="23" t="s">
        <v>48</v>
      </c>
      <c r="C17" s="24"/>
      <c r="D17" s="25"/>
      <c r="E17" s="26"/>
      <c r="F17" s="27"/>
      <c r="G17" s="26"/>
      <c r="H17" s="27"/>
      <c r="I17" s="26"/>
      <c r="J17" s="27"/>
      <c r="K17" s="26"/>
      <c r="L17" s="28"/>
      <c r="M17" s="26"/>
      <c r="N17" s="29"/>
    </row>
    <row r="18" spans="1:14" ht="15" x14ac:dyDescent="0.2">
      <c r="A18" s="30"/>
      <c r="B18" s="31" t="s">
        <v>49</v>
      </c>
      <c r="C18" s="32">
        <v>1</v>
      </c>
      <c r="D18" s="33" t="s">
        <v>50</v>
      </c>
      <c r="E18" s="34">
        <v>25000</v>
      </c>
      <c r="F18" s="33">
        <f>C18*E18</f>
        <v>25000</v>
      </c>
      <c r="G18" s="34"/>
      <c r="H18" s="33">
        <f>C18*G18</f>
        <v>0</v>
      </c>
      <c r="I18" s="34"/>
      <c r="J18" s="33">
        <f>C18*I18</f>
        <v>0</v>
      </c>
      <c r="K18" s="34">
        <f t="shared" ref="K18:L22" si="0">E18+G18+I18</f>
        <v>25000</v>
      </c>
      <c r="L18" s="35">
        <f t="shared" si="0"/>
        <v>25000</v>
      </c>
      <c r="M18" s="34">
        <f>K18*($I$138+1)</f>
        <v>29189.943644722895</v>
      </c>
      <c r="N18" s="35">
        <f>C18*M18</f>
        <v>29189.943644722895</v>
      </c>
    </row>
    <row r="19" spans="1:14" ht="15" x14ac:dyDescent="0.2">
      <c r="A19" s="30"/>
      <c r="B19" s="31" t="s">
        <v>51</v>
      </c>
      <c r="C19" s="32">
        <v>1</v>
      </c>
      <c r="D19" s="33" t="s">
        <v>50</v>
      </c>
      <c r="E19" s="34">
        <v>4500</v>
      </c>
      <c r="F19" s="33">
        <f>C19*E19</f>
        <v>4500</v>
      </c>
      <c r="G19" s="34"/>
      <c r="H19" s="33">
        <f>C19*G19</f>
        <v>0</v>
      </c>
      <c r="I19" s="34"/>
      <c r="J19" s="33">
        <f>C19*I19</f>
        <v>0</v>
      </c>
      <c r="K19" s="34">
        <f t="shared" si="0"/>
        <v>4500</v>
      </c>
      <c r="L19" s="35">
        <f t="shared" si="0"/>
        <v>4500</v>
      </c>
      <c r="M19" s="34">
        <f>K19*($I$138+1)</f>
        <v>5254.1898560501204</v>
      </c>
      <c r="N19" s="35">
        <f>C19*M19</f>
        <v>5254.1898560501204</v>
      </c>
    </row>
    <row r="20" spans="1:14" ht="15" x14ac:dyDescent="0.2">
      <c r="A20" s="30"/>
      <c r="B20" s="31" t="s">
        <v>52</v>
      </c>
      <c r="C20" s="32">
        <v>1</v>
      </c>
      <c r="D20" s="33" t="s">
        <v>50</v>
      </c>
      <c r="E20" s="34">
        <v>6000</v>
      </c>
      <c r="F20" s="33">
        <f>C20*E20</f>
        <v>6000</v>
      </c>
      <c r="G20" s="34"/>
      <c r="H20" s="33">
        <f>C20*G20</f>
        <v>0</v>
      </c>
      <c r="I20" s="34"/>
      <c r="J20" s="33">
        <f>C20*I20</f>
        <v>0</v>
      </c>
      <c r="K20" s="34">
        <f t="shared" si="0"/>
        <v>6000</v>
      </c>
      <c r="L20" s="35">
        <f t="shared" si="0"/>
        <v>6000</v>
      </c>
      <c r="M20" s="34">
        <f>K20*($I$138+1)</f>
        <v>7005.5864747334945</v>
      </c>
      <c r="N20" s="35">
        <f>C20*M20</f>
        <v>7005.5864747334945</v>
      </c>
    </row>
    <row r="21" spans="1:14" ht="15" x14ac:dyDescent="0.2">
      <c r="A21" s="30"/>
      <c r="B21" s="31" t="s">
        <v>53</v>
      </c>
      <c r="C21" s="32">
        <v>1</v>
      </c>
      <c r="D21" s="33" t="s">
        <v>50</v>
      </c>
      <c r="E21" s="34">
        <v>1500</v>
      </c>
      <c r="F21" s="33">
        <f>C21*E21</f>
        <v>1500</v>
      </c>
      <c r="G21" s="34"/>
      <c r="H21" s="33">
        <f>C21*G21</f>
        <v>0</v>
      </c>
      <c r="I21" s="34"/>
      <c r="J21" s="33">
        <f>C21*I21</f>
        <v>0</v>
      </c>
      <c r="K21" s="34">
        <f t="shared" si="0"/>
        <v>1500</v>
      </c>
      <c r="L21" s="35">
        <f t="shared" si="0"/>
        <v>1500</v>
      </c>
      <c r="M21" s="34">
        <f>K21*($I$138+1)</f>
        <v>1751.3966186833736</v>
      </c>
      <c r="N21" s="35">
        <f>C21*M21</f>
        <v>1751.3966186833736</v>
      </c>
    </row>
    <row r="22" spans="1:14" ht="15" x14ac:dyDescent="0.2">
      <c r="A22" s="30"/>
      <c r="B22" s="31" t="s">
        <v>54</v>
      </c>
      <c r="C22" s="32">
        <f>C9+C8+C9+C8</f>
        <v>160</v>
      </c>
      <c r="D22" s="33" t="s">
        <v>27</v>
      </c>
      <c r="E22" s="34">
        <v>12</v>
      </c>
      <c r="F22" s="33">
        <f>C22*E22</f>
        <v>1920</v>
      </c>
      <c r="G22" s="34">
        <v>18</v>
      </c>
      <c r="H22" s="33">
        <f>C22*G22</f>
        <v>2880</v>
      </c>
      <c r="I22" s="34"/>
      <c r="J22" s="33">
        <f>C22*I22</f>
        <v>0</v>
      </c>
      <c r="K22" s="34">
        <f t="shared" si="0"/>
        <v>30</v>
      </c>
      <c r="L22" s="35">
        <f t="shared" si="0"/>
        <v>4800</v>
      </c>
      <c r="M22" s="34">
        <f>K22*($I$138+1)</f>
        <v>35.027932373667468</v>
      </c>
      <c r="N22" s="35">
        <f>C22*M22</f>
        <v>5604.4691797867945</v>
      </c>
    </row>
    <row r="23" spans="1:14" ht="15" x14ac:dyDescent="0.2">
      <c r="A23" s="36"/>
      <c r="B23" s="37" t="s">
        <v>55</v>
      </c>
      <c r="C23" s="32"/>
      <c r="D23" s="33"/>
      <c r="E23" s="34"/>
      <c r="F23" s="38">
        <f>SUM(F18:F22)</f>
        <v>38920</v>
      </c>
      <c r="G23" s="34"/>
      <c r="H23" s="38">
        <f>SUM(H18:H22)</f>
        <v>2880</v>
      </c>
      <c r="I23" s="34"/>
      <c r="J23" s="38">
        <f>SUM(J18:J22)</f>
        <v>0</v>
      </c>
      <c r="K23" s="34"/>
      <c r="L23" s="39">
        <f>SUM(L18:L22)</f>
        <v>41800</v>
      </c>
      <c r="M23" s="34"/>
      <c r="N23" s="39">
        <f>SUM(N18:N22)</f>
        <v>48805.585773976672</v>
      </c>
    </row>
    <row r="24" spans="1:14" ht="15.75" thickBot="1" x14ac:dyDescent="0.25">
      <c r="A24" s="40"/>
      <c r="B24" s="41"/>
      <c r="C24" s="42"/>
      <c r="D24" s="43"/>
      <c r="E24" s="44"/>
      <c r="F24" s="45"/>
      <c r="G24" s="44"/>
      <c r="H24" s="45"/>
      <c r="I24" s="44"/>
      <c r="J24" s="45"/>
      <c r="K24" s="44"/>
      <c r="L24" s="46"/>
      <c r="M24" s="44"/>
      <c r="N24" s="35"/>
    </row>
    <row r="25" spans="1:14" ht="15" x14ac:dyDescent="0.2">
      <c r="A25" s="22">
        <v>2</v>
      </c>
      <c r="B25" s="23" t="s">
        <v>56</v>
      </c>
      <c r="C25" s="24">
        <f>Sheet1!B25</f>
        <v>20</v>
      </c>
      <c r="D25" s="25" t="s">
        <v>57</v>
      </c>
      <c r="E25" s="26"/>
      <c r="F25" s="27"/>
      <c r="G25" s="26"/>
      <c r="H25" s="27"/>
      <c r="I25" s="26"/>
      <c r="J25" s="27"/>
      <c r="K25" s="26"/>
      <c r="L25" s="28"/>
      <c r="M25" s="26"/>
      <c r="N25" s="29"/>
    </row>
    <row r="26" spans="1:14" ht="15" x14ac:dyDescent="0.2">
      <c r="A26" s="30"/>
      <c r="B26" s="31" t="s">
        <v>58</v>
      </c>
      <c r="C26" s="32">
        <f>C25*1.4*1.4*1.5*1.2</f>
        <v>70.559999999999988</v>
      </c>
      <c r="D26" s="33" t="s">
        <v>59</v>
      </c>
      <c r="E26" s="34">
        <v>3</v>
      </c>
      <c r="F26" s="33">
        <f>C26*E26</f>
        <v>211.67999999999995</v>
      </c>
      <c r="G26" s="34">
        <v>3</v>
      </c>
      <c r="H26" s="33">
        <f>C26*G26</f>
        <v>211.67999999999995</v>
      </c>
      <c r="I26" s="34">
        <v>98</v>
      </c>
      <c r="J26" s="33">
        <f>C26*I26</f>
        <v>6914.8799999999992</v>
      </c>
      <c r="K26" s="34">
        <f t="shared" ref="K26:L30" si="1">E26+G26+I26</f>
        <v>104</v>
      </c>
      <c r="L26" s="35">
        <f t="shared" si="1"/>
        <v>7338.2399999999989</v>
      </c>
      <c r="M26" s="34">
        <f>K26*($I$138+1)</f>
        <v>121.43016556204724</v>
      </c>
      <c r="N26" s="35">
        <f>C26*M26</f>
        <v>8568.1124820580517</v>
      </c>
    </row>
    <row r="27" spans="1:14" ht="15" x14ac:dyDescent="0.2">
      <c r="A27" s="30"/>
      <c r="B27" s="31" t="s">
        <v>60</v>
      </c>
      <c r="C27" s="32">
        <f>C25*0.45*1.4*1.4*1.1</f>
        <v>19.404</v>
      </c>
      <c r="D27" s="33" t="s">
        <v>5</v>
      </c>
      <c r="E27" s="34">
        <f>8.86*1.8</f>
        <v>15.947999999999999</v>
      </c>
      <c r="F27" s="33">
        <f>C27*E27</f>
        <v>309.45499199999995</v>
      </c>
      <c r="G27" s="34">
        <v>12.56</v>
      </c>
      <c r="H27" s="33">
        <f>C27*G27</f>
        <v>243.71424000000002</v>
      </c>
      <c r="I27" s="34">
        <v>4.5599999999999996</v>
      </c>
      <c r="J27" s="33">
        <f>C27*I27</f>
        <v>88.48223999999999</v>
      </c>
      <c r="K27" s="34">
        <f t="shared" si="1"/>
        <v>33.067999999999998</v>
      </c>
      <c r="L27" s="35">
        <f t="shared" si="1"/>
        <v>641.65147200000001</v>
      </c>
      <c r="M27" s="34">
        <f>K27*($I$138+1)</f>
        <v>38.610122257747861</v>
      </c>
      <c r="N27" s="35">
        <f>C27*M27</f>
        <v>749.19081228933953</v>
      </c>
    </row>
    <row r="28" spans="1:14" ht="15" x14ac:dyDescent="0.2">
      <c r="A28" s="30"/>
      <c r="B28" s="31" t="s">
        <v>61</v>
      </c>
      <c r="C28" s="32">
        <f>C25*7*2*1.4*3.281*1.043*1.1</f>
        <v>1475.6021896</v>
      </c>
      <c r="D28" s="33" t="s">
        <v>62</v>
      </c>
      <c r="E28" s="34">
        <v>0.33</v>
      </c>
      <c r="F28" s="33">
        <f>C28*E28</f>
        <v>486.94872256799999</v>
      </c>
      <c r="G28" s="34">
        <f>0.18*1.8</f>
        <v>0.32400000000000001</v>
      </c>
      <c r="H28" s="33">
        <f>C28*G28</f>
        <v>478.09510943039999</v>
      </c>
      <c r="I28" s="34">
        <v>0.16</v>
      </c>
      <c r="J28" s="33">
        <f>C28*I28</f>
        <v>236.096350336</v>
      </c>
      <c r="K28" s="34">
        <f t="shared" si="1"/>
        <v>0.81400000000000006</v>
      </c>
      <c r="L28" s="35">
        <f t="shared" si="1"/>
        <v>1201.1401823343999</v>
      </c>
      <c r="M28" s="34">
        <f>K28*($I$138+1)</f>
        <v>0.95042456507217743</v>
      </c>
      <c r="N28" s="35">
        <f>C28*M28</f>
        <v>1402.4485692701326</v>
      </c>
    </row>
    <row r="29" spans="1:14" ht="15" x14ac:dyDescent="0.2">
      <c r="A29" s="30"/>
      <c r="B29" s="31" t="s">
        <v>63</v>
      </c>
      <c r="C29" s="32">
        <f>C25*1.4*1.4*0.45*1.1</f>
        <v>19.404</v>
      </c>
      <c r="D29" s="33" t="s">
        <v>59</v>
      </c>
      <c r="E29" s="34">
        <v>32.4</v>
      </c>
      <c r="F29" s="33">
        <f>C29*E29</f>
        <v>628.68959999999993</v>
      </c>
      <c r="G29" s="34">
        <f>132*1.1</f>
        <v>145.20000000000002</v>
      </c>
      <c r="H29" s="33">
        <f>C29*G29</f>
        <v>2817.4608000000003</v>
      </c>
      <c r="I29" s="34">
        <v>26.5</v>
      </c>
      <c r="J29" s="33">
        <f>C29*I29</f>
        <v>514.20600000000002</v>
      </c>
      <c r="K29" s="34">
        <f t="shared" si="1"/>
        <v>204.10000000000002</v>
      </c>
      <c r="L29" s="35">
        <f t="shared" si="1"/>
        <v>3960.3564000000006</v>
      </c>
      <c r="M29" s="34">
        <f>K29*($I$138+1)</f>
        <v>238.30669991551773</v>
      </c>
      <c r="N29" s="35">
        <f>C29*M29</f>
        <v>4624.1032051607062</v>
      </c>
    </row>
    <row r="30" spans="1:14" ht="15" x14ac:dyDescent="0.2">
      <c r="A30" s="30"/>
      <c r="B30" s="31" t="s">
        <v>64</v>
      </c>
      <c r="C30" s="32">
        <f>C26-C29</f>
        <v>51.155999999999992</v>
      </c>
      <c r="D30" s="33" t="s">
        <v>59</v>
      </c>
      <c r="E30" s="34">
        <v>2.5</v>
      </c>
      <c r="F30" s="33">
        <f>C30*E30</f>
        <v>127.88999999999999</v>
      </c>
      <c r="G30" s="34">
        <v>2.5</v>
      </c>
      <c r="H30" s="33">
        <f>C30*G30</f>
        <v>127.88999999999999</v>
      </c>
      <c r="I30" s="34">
        <v>5.65</v>
      </c>
      <c r="J30" s="33">
        <f>C30*I30</f>
        <v>289.03139999999996</v>
      </c>
      <c r="K30" s="34">
        <f t="shared" si="1"/>
        <v>10.65</v>
      </c>
      <c r="L30" s="35">
        <f t="shared" si="1"/>
        <v>544.81139999999994</v>
      </c>
      <c r="M30" s="34">
        <f>K30*($I$138+1)</f>
        <v>12.434915992651954</v>
      </c>
      <c r="N30" s="35">
        <f>C30*M30</f>
        <v>636.12056252010325</v>
      </c>
    </row>
    <row r="31" spans="1:14" ht="15" x14ac:dyDescent="0.2">
      <c r="A31" s="36"/>
      <c r="B31" s="37" t="s">
        <v>55</v>
      </c>
      <c r="C31" s="32"/>
      <c r="D31" s="33"/>
      <c r="E31" s="34"/>
      <c r="F31" s="38">
        <f>SUM(F26:F30)</f>
        <v>1764.6633145679998</v>
      </c>
      <c r="G31" s="34"/>
      <c r="H31" s="38">
        <f>SUM(H26:H30)</f>
        <v>3878.8401494304003</v>
      </c>
      <c r="I31" s="34"/>
      <c r="J31" s="38">
        <f>SUM(J26:J30)</f>
        <v>8042.6959903359993</v>
      </c>
      <c r="K31" s="34"/>
      <c r="L31" s="39">
        <f>SUM(L26:L30)</f>
        <v>13686.199454334401</v>
      </c>
      <c r="M31" s="34"/>
      <c r="N31" s="39">
        <f>SUM(N26:N30)</f>
        <v>15979.975631298334</v>
      </c>
    </row>
    <row r="32" spans="1:14" ht="15" x14ac:dyDescent="0.2">
      <c r="A32" s="40"/>
      <c r="B32" s="41"/>
      <c r="C32" s="42"/>
      <c r="D32" s="43"/>
      <c r="E32" s="44"/>
      <c r="F32" s="45"/>
      <c r="G32" s="44"/>
      <c r="H32" s="45"/>
      <c r="I32" s="44"/>
      <c r="J32" s="45"/>
      <c r="K32" s="44"/>
      <c r="L32" s="46"/>
      <c r="M32" s="44"/>
      <c r="N32" s="35"/>
    </row>
    <row r="33" spans="1:15" ht="15" x14ac:dyDescent="0.2">
      <c r="A33" s="40">
        <v>3</v>
      </c>
      <c r="B33" s="41" t="s">
        <v>65</v>
      </c>
      <c r="C33" s="47">
        <f>Sheet1!B28</f>
        <v>250.4</v>
      </c>
      <c r="D33" s="43" t="s">
        <v>27</v>
      </c>
      <c r="E33" s="44"/>
      <c r="F33" s="45"/>
      <c r="G33" s="44"/>
      <c r="H33" s="45"/>
      <c r="I33" s="44"/>
      <c r="J33" s="45"/>
      <c r="K33" s="44"/>
      <c r="L33" s="46"/>
      <c r="M33" s="44"/>
      <c r="N33" s="35"/>
    </row>
    <row r="34" spans="1:15" ht="15" x14ac:dyDescent="0.2">
      <c r="A34" s="30"/>
      <c r="B34" s="31" t="s">
        <v>58</v>
      </c>
      <c r="C34" s="32">
        <f>C33*0.75*1*1.05</f>
        <v>197.19000000000003</v>
      </c>
      <c r="D34" s="33" t="s">
        <v>59</v>
      </c>
      <c r="E34" s="34">
        <v>3</v>
      </c>
      <c r="F34" s="33">
        <f t="shared" ref="F34:F39" si="2">C34*E34</f>
        <v>591.57000000000005</v>
      </c>
      <c r="G34" s="34">
        <v>3</v>
      </c>
      <c r="H34" s="33">
        <f t="shared" ref="H34:H39" si="3">C34*G34</f>
        <v>591.57000000000005</v>
      </c>
      <c r="I34" s="34">
        <v>98</v>
      </c>
      <c r="J34" s="33">
        <f t="shared" ref="J34:J39" si="4">C34*I34</f>
        <v>19324.620000000003</v>
      </c>
      <c r="K34" s="34">
        <f t="shared" ref="K34:L39" si="5">E34+G34+I34</f>
        <v>104</v>
      </c>
      <c r="L34" s="35">
        <f t="shared" si="5"/>
        <v>20507.760000000002</v>
      </c>
      <c r="M34" s="34">
        <f t="shared" ref="M34:M39" si="6">K34*($I$138+1)</f>
        <v>121.43016556204724</v>
      </c>
      <c r="N34" s="35">
        <f t="shared" ref="N34:N39" si="7">C34*M34</f>
        <v>23944.814347180098</v>
      </c>
    </row>
    <row r="35" spans="1:15" ht="15" x14ac:dyDescent="0.2">
      <c r="A35" s="30"/>
      <c r="B35" s="31" t="s">
        <v>60</v>
      </c>
      <c r="C35" s="32">
        <f>C33*0.45*2</f>
        <v>225.36</v>
      </c>
      <c r="D35" s="33" t="s">
        <v>5</v>
      </c>
      <c r="E35" s="34">
        <f>8.86*1.8</f>
        <v>15.947999999999999</v>
      </c>
      <c r="F35" s="33">
        <f t="shared" si="2"/>
        <v>3594.0412799999999</v>
      </c>
      <c r="G35" s="34">
        <v>12.56</v>
      </c>
      <c r="H35" s="33">
        <f t="shared" si="3"/>
        <v>2830.5216000000005</v>
      </c>
      <c r="I35" s="34">
        <v>4.5599999999999996</v>
      </c>
      <c r="J35" s="33">
        <f t="shared" si="4"/>
        <v>1027.6415999999999</v>
      </c>
      <c r="K35" s="34">
        <f t="shared" si="5"/>
        <v>33.067999999999998</v>
      </c>
      <c r="L35" s="35">
        <f t="shared" si="5"/>
        <v>7452.2044800000003</v>
      </c>
      <c r="M35" s="34">
        <f t="shared" si="6"/>
        <v>38.610122257747861</v>
      </c>
      <c r="N35" s="35">
        <f t="shared" si="7"/>
        <v>8701.1771520060593</v>
      </c>
    </row>
    <row r="36" spans="1:15" ht="15" x14ac:dyDescent="0.2">
      <c r="A36" s="30"/>
      <c r="B36" s="31" t="s">
        <v>66</v>
      </c>
      <c r="C36" s="32">
        <f>(C33/0.25)*(0.45*4*0.378*1.1*3.281)</f>
        <v>2459.5606506240006</v>
      </c>
      <c r="D36" s="33" t="s">
        <v>62</v>
      </c>
      <c r="E36" s="34">
        <v>0.33</v>
      </c>
      <c r="F36" s="33">
        <f t="shared" si="2"/>
        <v>811.65501470592028</v>
      </c>
      <c r="G36" s="34">
        <f>0.18*1.8</f>
        <v>0.32400000000000001</v>
      </c>
      <c r="H36" s="33">
        <f t="shared" si="3"/>
        <v>796.89765080217626</v>
      </c>
      <c r="I36" s="34">
        <v>0.16</v>
      </c>
      <c r="J36" s="33">
        <f t="shared" si="4"/>
        <v>393.5297040998401</v>
      </c>
      <c r="K36" s="34">
        <f t="shared" si="5"/>
        <v>0.81400000000000006</v>
      </c>
      <c r="L36" s="35">
        <f t="shared" si="5"/>
        <v>2002.0823696079367</v>
      </c>
      <c r="M36" s="34">
        <f t="shared" si="6"/>
        <v>0.95042456507217743</v>
      </c>
      <c r="N36" s="35">
        <f t="shared" si="7"/>
        <v>2337.6268616379575</v>
      </c>
    </row>
    <row r="37" spans="1:15" ht="15" x14ac:dyDescent="0.2">
      <c r="A37" s="30"/>
      <c r="B37" s="31" t="s">
        <v>67</v>
      </c>
      <c r="C37" s="32">
        <f>C33*4*3.281*1.503*1.1</f>
        <v>5433.1564636800003</v>
      </c>
      <c r="D37" s="33" t="s">
        <v>62</v>
      </c>
      <c r="E37" s="34">
        <v>0.33</v>
      </c>
      <c r="F37" s="33">
        <f>C37*E37</f>
        <v>1792.9416330144002</v>
      </c>
      <c r="G37" s="34">
        <f>0.18*1.8</f>
        <v>0.32400000000000001</v>
      </c>
      <c r="H37" s="33">
        <f t="shared" si="3"/>
        <v>1760.3426942323201</v>
      </c>
      <c r="I37" s="34">
        <v>0.16</v>
      </c>
      <c r="J37" s="33">
        <f t="shared" si="4"/>
        <v>869.30503418880005</v>
      </c>
      <c r="K37" s="34">
        <f t="shared" si="5"/>
        <v>0.81400000000000006</v>
      </c>
      <c r="L37" s="35">
        <f t="shared" si="5"/>
        <v>4422.58936143552</v>
      </c>
      <c r="M37" s="34">
        <f t="shared" si="6"/>
        <v>0.95042456507217743</v>
      </c>
      <c r="N37" s="35">
        <f t="shared" si="7"/>
        <v>5163.8053689621538</v>
      </c>
    </row>
    <row r="38" spans="1:15" ht="15" x14ac:dyDescent="0.2">
      <c r="A38" s="30"/>
      <c r="B38" s="31" t="s">
        <v>63</v>
      </c>
      <c r="C38" s="32">
        <f>C33*0.45*0.45*1.1</f>
        <v>55.776600000000009</v>
      </c>
      <c r="D38" s="33" t="s">
        <v>59</v>
      </c>
      <c r="E38" s="34">
        <f>18*1.8</f>
        <v>32.4</v>
      </c>
      <c r="F38" s="33">
        <f t="shared" si="2"/>
        <v>1807.1618400000002</v>
      </c>
      <c r="G38" s="34">
        <v>145.19999999999999</v>
      </c>
      <c r="H38" s="33">
        <f t="shared" si="3"/>
        <v>8098.7623200000007</v>
      </c>
      <c r="I38" s="34">
        <v>26.5</v>
      </c>
      <c r="J38" s="33">
        <f t="shared" si="4"/>
        <v>1478.0799000000002</v>
      </c>
      <c r="K38" s="34">
        <f t="shared" si="5"/>
        <v>204.1</v>
      </c>
      <c r="L38" s="35">
        <f t="shared" si="5"/>
        <v>11384.004060000001</v>
      </c>
      <c r="M38" s="34">
        <f t="shared" si="6"/>
        <v>238.3066999155177</v>
      </c>
      <c r="N38" s="35">
        <f t="shared" si="7"/>
        <v>13291.937478507867</v>
      </c>
    </row>
    <row r="39" spans="1:15" ht="15" x14ac:dyDescent="0.2">
      <c r="A39" s="30"/>
      <c r="B39" s="31" t="s">
        <v>64</v>
      </c>
      <c r="C39" s="32">
        <f>C34-C38</f>
        <v>141.41340000000002</v>
      </c>
      <c r="D39" s="33" t="s">
        <v>59</v>
      </c>
      <c r="E39" s="34">
        <v>2.5</v>
      </c>
      <c r="F39" s="33">
        <f t="shared" si="2"/>
        <v>353.53350000000006</v>
      </c>
      <c r="G39" s="34">
        <v>2.5</v>
      </c>
      <c r="H39" s="33">
        <f t="shared" si="3"/>
        <v>353.53350000000006</v>
      </c>
      <c r="I39" s="34">
        <v>5.65</v>
      </c>
      <c r="J39" s="33">
        <f t="shared" si="4"/>
        <v>798.98571000000015</v>
      </c>
      <c r="K39" s="34">
        <f t="shared" si="5"/>
        <v>10.65</v>
      </c>
      <c r="L39" s="35">
        <f t="shared" si="5"/>
        <v>1506.0527100000004</v>
      </c>
      <c r="M39" s="34">
        <f t="shared" si="6"/>
        <v>12.434915992651954</v>
      </c>
      <c r="N39" s="35">
        <f t="shared" si="7"/>
        <v>1758.4637492352881</v>
      </c>
    </row>
    <row r="40" spans="1:15" ht="15" x14ac:dyDescent="0.2">
      <c r="A40" s="36"/>
      <c r="B40" s="37" t="s">
        <v>55</v>
      </c>
      <c r="C40" s="32"/>
      <c r="D40" s="33"/>
      <c r="E40" s="34"/>
      <c r="F40" s="38">
        <f>SUM(F34:F39)</f>
        <v>8950.9032677203213</v>
      </c>
      <c r="G40" s="34"/>
      <c r="H40" s="38">
        <f>SUM(H34:H39)</f>
        <v>14431.627765034498</v>
      </c>
      <c r="I40" s="34"/>
      <c r="J40" s="38">
        <f>SUM(J34:J39)</f>
        <v>23892.161948288645</v>
      </c>
      <c r="K40" s="34"/>
      <c r="L40" s="39">
        <f>SUM(L34:L39)</f>
        <v>47274.692981043459</v>
      </c>
      <c r="M40" s="34"/>
      <c r="N40" s="39">
        <f>SUM(N34:N39)</f>
        <v>55197.824957529425</v>
      </c>
    </row>
    <row r="41" spans="1:15" ht="15" x14ac:dyDescent="0.2">
      <c r="A41" s="40"/>
      <c r="B41" s="41"/>
      <c r="C41" s="42"/>
      <c r="D41" s="43"/>
      <c r="E41" s="44"/>
      <c r="F41" s="45"/>
      <c r="G41" s="44"/>
      <c r="H41" s="45"/>
      <c r="I41" s="44"/>
      <c r="J41" s="45"/>
      <c r="K41" s="44"/>
      <c r="L41" s="46"/>
      <c r="M41" s="44"/>
      <c r="N41" s="35"/>
      <c r="O41" s="48"/>
    </row>
    <row r="42" spans="1:15" ht="15" x14ac:dyDescent="0.2">
      <c r="A42" s="40">
        <v>4</v>
      </c>
      <c r="B42" s="41" t="s">
        <v>68</v>
      </c>
      <c r="C42" s="47">
        <f>C25</f>
        <v>20</v>
      </c>
      <c r="D42" s="43" t="s">
        <v>57</v>
      </c>
      <c r="E42" s="44"/>
      <c r="F42" s="45"/>
      <c r="G42" s="44"/>
      <c r="H42" s="45"/>
      <c r="I42" s="44"/>
      <c r="J42" s="45"/>
      <c r="K42" s="44"/>
      <c r="L42" s="46"/>
      <c r="M42" s="44"/>
      <c r="N42" s="35"/>
    </row>
    <row r="43" spans="1:15" ht="15" x14ac:dyDescent="0.2">
      <c r="A43" s="30"/>
      <c r="B43" s="31" t="s">
        <v>69</v>
      </c>
      <c r="C43" s="32">
        <f>C42*0.5*0.5*1.4*1.1</f>
        <v>7.7000000000000011</v>
      </c>
      <c r="D43" s="33" t="s">
        <v>59</v>
      </c>
      <c r="E43" s="34">
        <v>32.4</v>
      </c>
      <c r="F43" s="33">
        <f t="shared" ref="F43:F49" si="8">C43*E43</f>
        <v>249.48000000000002</v>
      </c>
      <c r="G43" s="34">
        <v>145.19999999999999</v>
      </c>
      <c r="H43" s="33">
        <f t="shared" ref="H43:H49" si="9">C43*G43</f>
        <v>1118.04</v>
      </c>
      <c r="I43" s="34">
        <v>26.5</v>
      </c>
      <c r="J43" s="33">
        <f t="shared" ref="J43:J49" si="10">C43*I43</f>
        <v>204.05000000000004</v>
      </c>
      <c r="K43" s="34">
        <f t="shared" ref="K43:L49" si="11">E43+G43+I43</f>
        <v>204.1</v>
      </c>
      <c r="L43" s="35">
        <f t="shared" si="11"/>
        <v>1571.57</v>
      </c>
      <c r="M43" s="34">
        <f t="shared" ref="M43:M49" si="12">K43*($I$138+1)</f>
        <v>238.3066999155177</v>
      </c>
      <c r="N43" s="35">
        <f t="shared" ref="N43:N49" si="13">C43*M43</f>
        <v>1834.9615893494865</v>
      </c>
    </row>
    <row r="44" spans="1:15" ht="15" x14ac:dyDescent="0.2">
      <c r="A44" s="30"/>
      <c r="B44" s="31" t="s">
        <v>70</v>
      </c>
      <c r="C44" s="32">
        <f>C42*0.5*4*1.4*1.1</f>
        <v>61.600000000000009</v>
      </c>
      <c r="D44" s="33" t="s">
        <v>5</v>
      </c>
      <c r="E44" s="34">
        <f>8.86*1.8</f>
        <v>15.947999999999999</v>
      </c>
      <c r="F44" s="33">
        <f t="shared" si="8"/>
        <v>982.3968000000001</v>
      </c>
      <c r="G44" s="34">
        <v>12.56</v>
      </c>
      <c r="H44" s="33">
        <f t="shared" si="9"/>
        <v>773.69600000000014</v>
      </c>
      <c r="I44" s="34">
        <v>4.3600000000000003</v>
      </c>
      <c r="J44" s="33">
        <f t="shared" si="10"/>
        <v>268.57600000000008</v>
      </c>
      <c r="K44" s="34">
        <f t="shared" si="11"/>
        <v>32.868000000000002</v>
      </c>
      <c r="L44" s="35">
        <f t="shared" si="11"/>
        <v>2024.6688000000004</v>
      </c>
      <c r="M44" s="34">
        <f t="shared" si="12"/>
        <v>38.376602708590084</v>
      </c>
      <c r="N44" s="35">
        <f t="shared" si="13"/>
        <v>2363.9987268491495</v>
      </c>
    </row>
    <row r="45" spans="1:15" ht="15" x14ac:dyDescent="0.2">
      <c r="A45" s="30"/>
      <c r="B45" s="31" t="s">
        <v>71</v>
      </c>
      <c r="C45" s="32">
        <f>C42*8*2*3.281*2.67*1.1+C42*0.5*4*0.378*3.281*1.1</f>
        <v>3138.184632</v>
      </c>
      <c r="D45" s="33" t="s">
        <v>62</v>
      </c>
      <c r="E45" s="34">
        <v>0.33</v>
      </c>
      <c r="F45" s="33">
        <f t="shared" si="8"/>
        <v>1035.6009285600001</v>
      </c>
      <c r="G45" s="34">
        <v>0.32</v>
      </c>
      <c r="H45" s="33">
        <f t="shared" si="9"/>
        <v>1004.21908224</v>
      </c>
      <c r="I45" s="34">
        <v>0.16</v>
      </c>
      <c r="J45" s="33">
        <f t="shared" si="10"/>
        <v>502.10954112000002</v>
      </c>
      <c r="K45" s="34">
        <f t="shared" si="11"/>
        <v>0.81</v>
      </c>
      <c r="L45" s="35">
        <f t="shared" si="11"/>
        <v>2541.92955192</v>
      </c>
      <c r="M45" s="34">
        <f t="shared" si="12"/>
        <v>0.94575417408902185</v>
      </c>
      <c r="N45" s="35">
        <f t="shared" si="13"/>
        <v>2967.9512147760211</v>
      </c>
    </row>
    <row r="46" spans="1:15" ht="30" x14ac:dyDescent="0.2">
      <c r="A46" s="30"/>
      <c r="B46" s="31" t="s">
        <v>72</v>
      </c>
      <c r="C46" s="32">
        <f>C42*4</f>
        <v>80</v>
      </c>
      <c r="D46" s="33" t="s">
        <v>24</v>
      </c>
      <c r="E46" s="34">
        <v>1.5</v>
      </c>
      <c r="F46" s="33">
        <f t="shared" si="8"/>
        <v>120</v>
      </c>
      <c r="G46" s="34">
        <v>8.5</v>
      </c>
      <c r="H46" s="33">
        <f t="shared" si="9"/>
        <v>680</v>
      </c>
      <c r="I46" s="34">
        <v>2</v>
      </c>
      <c r="J46" s="33">
        <f t="shared" si="10"/>
        <v>160</v>
      </c>
      <c r="K46" s="34">
        <f t="shared" si="11"/>
        <v>12</v>
      </c>
      <c r="L46" s="35">
        <f t="shared" si="11"/>
        <v>960</v>
      </c>
      <c r="M46" s="34">
        <f t="shared" si="12"/>
        <v>14.011172949466989</v>
      </c>
      <c r="N46" s="35">
        <f t="shared" si="13"/>
        <v>1120.893835957359</v>
      </c>
    </row>
    <row r="47" spans="1:15" ht="15" x14ac:dyDescent="0.2">
      <c r="A47" s="30"/>
      <c r="B47" s="31" t="s">
        <v>73</v>
      </c>
      <c r="C47" s="32">
        <f>C42</f>
        <v>20</v>
      </c>
      <c r="D47" s="33" t="s">
        <v>62</v>
      </c>
      <c r="E47" s="34">
        <f>0.45*1.8</f>
        <v>0.81</v>
      </c>
      <c r="F47" s="33">
        <f t="shared" si="8"/>
        <v>16.200000000000003</v>
      </c>
      <c r="G47" s="34">
        <f>0.36+0.11</f>
        <v>0.47</v>
      </c>
      <c r="H47" s="33">
        <f t="shared" si="9"/>
        <v>9.3999999999999986</v>
      </c>
      <c r="I47" s="34">
        <v>0.3</v>
      </c>
      <c r="J47" s="33">
        <f t="shared" si="10"/>
        <v>6</v>
      </c>
      <c r="K47" s="34">
        <f t="shared" si="11"/>
        <v>1.58</v>
      </c>
      <c r="L47" s="35">
        <f t="shared" si="11"/>
        <v>31.6</v>
      </c>
      <c r="M47" s="34">
        <f t="shared" si="12"/>
        <v>1.844804438346487</v>
      </c>
      <c r="N47" s="35">
        <f t="shared" si="13"/>
        <v>36.896088766929736</v>
      </c>
    </row>
    <row r="48" spans="1:15" ht="15" x14ac:dyDescent="0.2">
      <c r="A48" s="30"/>
      <c r="B48" s="31" t="s">
        <v>74</v>
      </c>
      <c r="C48" s="32">
        <f>C42*4</f>
        <v>80</v>
      </c>
      <c r="D48" s="33" t="s">
        <v>24</v>
      </c>
      <c r="E48" s="34">
        <v>1</v>
      </c>
      <c r="F48" s="33">
        <f t="shared" si="8"/>
        <v>80</v>
      </c>
      <c r="G48" s="34">
        <v>1</v>
      </c>
      <c r="H48" s="33">
        <f t="shared" si="9"/>
        <v>80</v>
      </c>
      <c r="I48" s="34">
        <v>0</v>
      </c>
      <c r="J48" s="33">
        <f t="shared" si="10"/>
        <v>0</v>
      </c>
      <c r="K48" s="34">
        <f t="shared" si="11"/>
        <v>2</v>
      </c>
      <c r="L48" s="35">
        <f t="shared" si="11"/>
        <v>160</v>
      </c>
      <c r="M48" s="34">
        <f t="shared" si="12"/>
        <v>2.3351954915778315</v>
      </c>
      <c r="N48" s="35">
        <f t="shared" si="13"/>
        <v>186.81563932622652</v>
      </c>
    </row>
    <row r="49" spans="1:16" ht="30" x14ac:dyDescent="0.2">
      <c r="A49" s="30"/>
      <c r="B49" s="31" t="s">
        <v>75</v>
      </c>
      <c r="C49" s="32">
        <f>C42</f>
        <v>20</v>
      </c>
      <c r="D49" s="33" t="s">
        <v>24</v>
      </c>
      <c r="E49" s="34">
        <f>4*1.8</f>
        <v>7.2</v>
      </c>
      <c r="F49" s="33">
        <f t="shared" si="8"/>
        <v>144</v>
      </c>
      <c r="G49" s="34">
        <v>65.7</v>
      </c>
      <c r="H49" s="33">
        <f t="shared" si="9"/>
        <v>1314</v>
      </c>
      <c r="I49" s="34">
        <v>1.5</v>
      </c>
      <c r="J49" s="33">
        <f t="shared" si="10"/>
        <v>30</v>
      </c>
      <c r="K49" s="34">
        <f t="shared" si="11"/>
        <v>74.400000000000006</v>
      </c>
      <c r="L49" s="35">
        <f t="shared" si="11"/>
        <v>1488</v>
      </c>
      <c r="M49" s="34">
        <f t="shared" si="12"/>
        <v>86.869272286695335</v>
      </c>
      <c r="N49" s="35">
        <f t="shared" si="13"/>
        <v>1737.3854457339066</v>
      </c>
    </row>
    <row r="50" spans="1:16" ht="15" x14ac:dyDescent="0.2">
      <c r="A50" s="36"/>
      <c r="B50" s="37" t="s">
        <v>55</v>
      </c>
      <c r="C50" s="32"/>
      <c r="D50" s="33"/>
      <c r="E50" s="34"/>
      <c r="F50" s="38">
        <f>SUM(F43:F49)</f>
        <v>2627.6777285600001</v>
      </c>
      <c r="G50" s="34"/>
      <c r="H50" s="38">
        <f>SUM(H43:H49)</f>
        <v>4979.3550822400002</v>
      </c>
      <c r="I50" s="34"/>
      <c r="J50" s="38">
        <f>SUM(J43:J49)</f>
        <v>1170.7355411200001</v>
      </c>
      <c r="K50" s="34"/>
      <c r="L50" s="39">
        <f>SUM(L43:L49)</f>
        <v>8777.76835192</v>
      </c>
      <c r="M50" s="34"/>
      <c r="N50" s="39">
        <f>SUM(N43:N49)</f>
        <v>10248.902540759078</v>
      </c>
    </row>
    <row r="51" spans="1:16" ht="15" x14ac:dyDescent="0.2">
      <c r="A51" s="40"/>
      <c r="B51" s="41"/>
      <c r="C51" s="42"/>
      <c r="D51" s="43"/>
      <c r="E51" s="44"/>
      <c r="F51" s="45"/>
      <c r="G51" s="44"/>
      <c r="H51" s="45"/>
      <c r="I51" s="44"/>
      <c r="J51" s="45"/>
      <c r="K51" s="44"/>
      <c r="L51" s="46"/>
      <c r="M51" s="44"/>
      <c r="N51" s="35"/>
    </row>
    <row r="52" spans="1:16" ht="15" x14ac:dyDescent="0.2">
      <c r="A52" s="40">
        <v>5</v>
      </c>
      <c r="B52" s="41" t="s">
        <v>76</v>
      </c>
      <c r="C52" s="42"/>
      <c r="D52" s="43"/>
      <c r="E52" s="44"/>
      <c r="F52" s="45"/>
      <c r="G52" s="44"/>
      <c r="H52" s="45"/>
      <c r="I52" s="44"/>
      <c r="J52" s="45"/>
      <c r="K52" s="44"/>
      <c r="L52" s="46"/>
      <c r="M52" s="44"/>
      <c r="N52" s="35"/>
    </row>
    <row r="53" spans="1:16" ht="15" x14ac:dyDescent="0.2">
      <c r="A53" s="30"/>
      <c r="B53" s="31" t="s">
        <v>58</v>
      </c>
      <c r="C53" s="32"/>
      <c r="D53" s="33" t="s">
        <v>59</v>
      </c>
      <c r="E53" s="34">
        <v>3</v>
      </c>
      <c r="F53" s="33">
        <f t="shared" ref="F53:F66" si="14">C53*E53</f>
        <v>0</v>
      </c>
      <c r="G53" s="34">
        <v>3</v>
      </c>
      <c r="H53" s="33">
        <f t="shared" ref="H53:H66" si="15">C53*G53</f>
        <v>0</v>
      </c>
      <c r="I53" s="34">
        <v>98</v>
      </c>
      <c r="J53" s="33">
        <f t="shared" ref="J53:J66" si="16">C53*I53</f>
        <v>0</v>
      </c>
      <c r="K53" s="34">
        <f t="shared" ref="K53:L66" si="17">E53+G53+I53</f>
        <v>104</v>
      </c>
      <c r="L53" s="35">
        <f t="shared" si="17"/>
        <v>0</v>
      </c>
      <c r="M53" s="34">
        <f t="shared" ref="M53:M66" si="18">K53*($I$138+1)</f>
        <v>121.43016556204724</v>
      </c>
      <c r="N53" s="35">
        <f t="shared" ref="N53:N66" si="19">C53*M53</f>
        <v>0</v>
      </c>
    </row>
    <row r="54" spans="1:16" ht="15" x14ac:dyDescent="0.2">
      <c r="A54" s="30"/>
      <c r="B54" s="31" t="s">
        <v>60</v>
      </c>
      <c r="C54" s="32"/>
      <c r="D54" s="33" t="s">
        <v>5</v>
      </c>
      <c r="E54" s="34">
        <f>8.86*1.8</f>
        <v>15.947999999999999</v>
      </c>
      <c r="F54" s="33">
        <f t="shared" si="14"/>
        <v>0</v>
      </c>
      <c r="G54" s="34">
        <v>12.56</v>
      </c>
      <c r="H54" s="33">
        <f t="shared" si="15"/>
        <v>0</v>
      </c>
      <c r="I54" s="34">
        <v>4.5599999999999996</v>
      </c>
      <c r="J54" s="33">
        <f t="shared" si="16"/>
        <v>0</v>
      </c>
      <c r="K54" s="34">
        <f t="shared" si="17"/>
        <v>33.067999999999998</v>
      </c>
      <c r="L54" s="35">
        <f t="shared" si="17"/>
        <v>0</v>
      </c>
      <c r="M54" s="34">
        <f t="shared" si="18"/>
        <v>38.610122257747861</v>
      </c>
      <c r="N54" s="35">
        <f t="shared" si="19"/>
        <v>0</v>
      </c>
    </row>
    <row r="55" spans="1:16" ht="15" x14ac:dyDescent="0.2">
      <c r="A55" s="30"/>
      <c r="B55" s="31" t="s">
        <v>77</v>
      </c>
      <c r="C55" s="32"/>
      <c r="D55" s="33" t="s">
        <v>5</v>
      </c>
      <c r="E55" s="34">
        <f>8*1.9</f>
        <v>15.2</v>
      </c>
      <c r="F55" s="33">
        <f>C55*E55</f>
        <v>0</v>
      </c>
      <c r="G55" s="34">
        <v>13.98</v>
      </c>
      <c r="H55" s="33">
        <f t="shared" si="15"/>
        <v>0</v>
      </c>
      <c r="I55" s="34">
        <v>5.5</v>
      </c>
      <c r="J55" s="33">
        <f t="shared" si="16"/>
        <v>0</v>
      </c>
      <c r="K55" s="34">
        <f t="shared" si="17"/>
        <v>34.68</v>
      </c>
      <c r="L55" s="35">
        <f t="shared" si="17"/>
        <v>0</v>
      </c>
      <c r="M55" s="34">
        <f t="shared" si="18"/>
        <v>40.492289823959595</v>
      </c>
      <c r="N55" s="35">
        <f t="shared" si="19"/>
        <v>0</v>
      </c>
    </row>
    <row r="56" spans="1:16" ht="15" x14ac:dyDescent="0.2">
      <c r="A56" s="30"/>
      <c r="B56" s="31" t="s">
        <v>66</v>
      </c>
      <c r="C56" s="32"/>
      <c r="D56" s="33" t="s">
        <v>62</v>
      </c>
      <c r="E56" s="34">
        <v>0.33</v>
      </c>
      <c r="F56" s="33">
        <f t="shared" si="14"/>
        <v>0</v>
      </c>
      <c r="G56" s="34">
        <v>0.32</v>
      </c>
      <c r="H56" s="33">
        <f t="shared" si="15"/>
        <v>0</v>
      </c>
      <c r="I56" s="34">
        <v>0.16</v>
      </c>
      <c r="J56" s="33">
        <f t="shared" si="16"/>
        <v>0</v>
      </c>
      <c r="K56" s="34">
        <f t="shared" si="17"/>
        <v>0.81</v>
      </c>
      <c r="L56" s="35">
        <f t="shared" si="17"/>
        <v>0</v>
      </c>
      <c r="M56" s="34">
        <f t="shared" si="18"/>
        <v>0.94575417408902185</v>
      </c>
      <c r="N56" s="35">
        <f t="shared" si="19"/>
        <v>0</v>
      </c>
    </row>
    <row r="57" spans="1:16" ht="15" x14ac:dyDescent="0.2">
      <c r="A57" s="30"/>
      <c r="B57" s="31" t="s">
        <v>78</v>
      </c>
      <c r="C57" s="32"/>
      <c r="D57" s="33" t="s">
        <v>62</v>
      </c>
      <c r="E57" s="34">
        <v>0.33</v>
      </c>
      <c r="F57" s="33">
        <f>C57*E57</f>
        <v>0</v>
      </c>
      <c r="G57" s="34">
        <v>0.32</v>
      </c>
      <c r="H57" s="33">
        <f t="shared" si="15"/>
        <v>0</v>
      </c>
      <c r="I57" s="34">
        <v>0.16</v>
      </c>
      <c r="J57" s="33">
        <f t="shared" si="16"/>
        <v>0</v>
      </c>
      <c r="K57" s="34">
        <f t="shared" si="17"/>
        <v>0.81</v>
      </c>
      <c r="L57" s="35">
        <f t="shared" si="17"/>
        <v>0</v>
      </c>
      <c r="M57" s="34">
        <f t="shared" si="18"/>
        <v>0.94575417408902185</v>
      </c>
      <c r="N57" s="35">
        <f t="shared" si="19"/>
        <v>0</v>
      </c>
    </row>
    <row r="58" spans="1:16" ht="15" x14ac:dyDescent="0.2">
      <c r="A58" s="30"/>
      <c r="B58" s="31" t="s">
        <v>61</v>
      </c>
      <c r="C58" s="32"/>
      <c r="D58" s="33" t="s">
        <v>62</v>
      </c>
      <c r="E58" s="34">
        <v>0.33</v>
      </c>
      <c r="F58" s="33">
        <f>C58*E58</f>
        <v>0</v>
      </c>
      <c r="G58" s="34">
        <v>0.32</v>
      </c>
      <c r="H58" s="33">
        <f t="shared" si="15"/>
        <v>0</v>
      </c>
      <c r="I58" s="34">
        <v>0.16</v>
      </c>
      <c r="J58" s="33">
        <f t="shared" si="16"/>
        <v>0</v>
      </c>
      <c r="K58" s="34">
        <f t="shared" si="17"/>
        <v>0.81</v>
      </c>
      <c r="L58" s="35">
        <f t="shared" si="17"/>
        <v>0</v>
      </c>
      <c r="M58" s="34">
        <f t="shared" si="18"/>
        <v>0.94575417408902185</v>
      </c>
      <c r="N58" s="35">
        <f t="shared" si="19"/>
        <v>0</v>
      </c>
    </row>
    <row r="59" spans="1:16" ht="15" x14ac:dyDescent="0.2">
      <c r="A59" s="30"/>
      <c r="B59" s="31" t="s">
        <v>67</v>
      </c>
      <c r="C59" s="32"/>
      <c r="D59" s="33" t="s">
        <v>62</v>
      </c>
      <c r="E59" s="34">
        <v>0.33</v>
      </c>
      <c r="F59" s="33">
        <f t="shared" si="14"/>
        <v>0</v>
      </c>
      <c r="G59" s="34">
        <v>0.32</v>
      </c>
      <c r="H59" s="33">
        <f t="shared" si="15"/>
        <v>0</v>
      </c>
      <c r="I59" s="34">
        <v>0.16</v>
      </c>
      <c r="J59" s="33">
        <f t="shared" si="16"/>
        <v>0</v>
      </c>
      <c r="K59" s="34">
        <f t="shared" si="17"/>
        <v>0.81</v>
      </c>
      <c r="L59" s="35">
        <f t="shared" si="17"/>
        <v>0</v>
      </c>
      <c r="M59" s="34">
        <f t="shared" si="18"/>
        <v>0.94575417408902185</v>
      </c>
      <c r="N59" s="35">
        <f t="shared" si="19"/>
        <v>0</v>
      </c>
    </row>
    <row r="60" spans="1:16" ht="15" x14ac:dyDescent="0.2">
      <c r="A60" s="30"/>
      <c r="B60" s="31" t="s">
        <v>79</v>
      </c>
      <c r="C60" s="32"/>
      <c r="D60" s="33" t="s">
        <v>62</v>
      </c>
      <c r="E60" s="34">
        <v>0.33</v>
      </c>
      <c r="F60" s="33">
        <f t="shared" si="14"/>
        <v>0</v>
      </c>
      <c r="G60" s="34">
        <v>0.32</v>
      </c>
      <c r="H60" s="33">
        <f t="shared" si="15"/>
        <v>0</v>
      </c>
      <c r="I60" s="34">
        <v>0.16</v>
      </c>
      <c r="J60" s="33">
        <f t="shared" si="16"/>
        <v>0</v>
      </c>
      <c r="K60" s="34">
        <f t="shared" si="17"/>
        <v>0.81</v>
      </c>
      <c r="L60" s="35">
        <f t="shared" si="17"/>
        <v>0</v>
      </c>
      <c r="M60" s="34">
        <f t="shared" si="18"/>
        <v>0.94575417408902185</v>
      </c>
      <c r="N60" s="35">
        <f t="shared" si="19"/>
        <v>0</v>
      </c>
    </row>
    <row r="61" spans="1:16" ht="15" x14ac:dyDescent="0.2">
      <c r="A61" s="30"/>
      <c r="B61" s="31" t="s">
        <v>63</v>
      </c>
      <c r="C61" s="32"/>
      <c r="D61" s="33" t="s">
        <v>59</v>
      </c>
      <c r="E61" s="34">
        <v>32.4</v>
      </c>
      <c r="F61" s="33">
        <f t="shared" si="14"/>
        <v>0</v>
      </c>
      <c r="G61" s="34">
        <v>145.19999999999999</v>
      </c>
      <c r="H61" s="33">
        <f t="shared" si="15"/>
        <v>0</v>
      </c>
      <c r="I61" s="34">
        <v>26.5</v>
      </c>
      <c r="J61" s="33">
        <f t="shared" si="16"/>
        <v>0</v>
      </c>
      <c r="K61" s="34">
        <f t="shared" si="17"/>
        <v>204.1</v>
      </c>
      <c r="L61" s="35">
        <f t="shared" si="17"/>
        <v>0</v>
      </c>
      <c r="M61" s="34">
        <f t="shared" si="18"/>
        <v>238.3066999155177</v>
      </c>
      <c r="N61" s="35">
        <f t="shared" si="19"/>
        <v>0</v>
      </c>
    </row>
    <row r="62" spans="1:16" ht="15" x14ac:dyDescent="0.2">
      <c r="A62" s="30"/>
      <c r="B62" s="31" t="s">
        <v>80</v>
      </c>
      <c r="C62" s="32"/>
      <c r="D62" s="33" t="s">
        <v>27</v>
      </c>
      <c r="E62" s="34">
        <f>4.5*1.8</f>
        <v>8.1</v>
      </c>
      <c r="F62" s="33">
        <f t="shared" si="14"/>
        <v>0</v>
      </c>
      <c r="G62" s="34">
        <v>12.45</v>
      </c>
      <c r="H62" s="33">
        <f t="shared" si="15"/>
        <v>0</v>
      </c>
      <c r="I62" s="34">
        <v>0</v>
      </c>
      <c r="J62" s="33">
        <f t="shared" si="16"/>
        <v>0</v>
      </c>
      <c r="K62" s="34">
        <f t="shared" si="17"/>
        <v>20.549999999999997</v>
      </c>
      <c r="L62" s="35">
        <f t="shared" si="17"/>
        <v>0</v>
      </c>
      <c r="M62" s="34">
        <f t="shared" si="18"/>
        <v>23.994133675962214</v>
      </c>
      <c r="N62" s="35">
        <f t="shared" si="19"/>
        <v>0</v>
      </c>
    </row>
    <row r="63" spans="1:16" ht="15" x14ac:dyDescent="0.2">
      <c r="A63" s="30"/>
      <c r="B63" s="31" t="s">
        <v>81</v>
      </c>
      <c r="C63" s="32"/>
      <c r="D63" s="33" t="s">
        <v>5</v>
      </c>
      <c r="E63" s="34">
        <f>1.65*1.8</f>
        <v>2.9699999999999998</v>
      </c>
      <c r="F63" s="33">
        <f>C63*E63</f>
        <v>0</v>
      </c>
      <c r="G63" s="34">
        <v>1.85</v>
      </c>
      <c r="H63" s="33">
        <f t="shared" si="15"/>
        <v>0</v>
      </c>
      <c r="I63" s="34">
        <v>0.3</v>
      </c>
      <c r="J63" s="33">
        <f t="shared" si="16"/>
        <v>0</v>
      </c>
      <c r="K63" s="34">
        <f t="shared" si="17"/>
        <v>5.12</v>
      </c>
      <c r="L63" s="35">
        <f t="shared" si="17"/>
        <v>0</v>
      </c>
      <c r="M63" s="34">
        <f t="shared" si="18"/>
        <v>5.9781004584392488</v>
      </c>
      <c r="N63" s="35">
        <f t="shared" si="19"/>
        <v>0</v>
      </c>
      <c r="P63" s="48"/>
    </row>
    <row r="64" spans="1:16" ht="15" x14ac:dyDescent="0.2">
      <c r="A64" s="30"/>
      <c r="B64" s="31" t="s">
        <v>82</v>
      </c>
      <c r="C64" s="32"/>
      <c r="D64" s="33" t="s">
        <v>27</v>
      </c>
      <c r="E64" s="34">
        <v>14.89</v>
      </c>
      <c r="F64" s="33">
        <f t="shared" si="14"/>
        <v>0</v>
      </c>
      <c r="G64" s="34">
        <v>24.34</v>
      </c>
      <c r="H64" s="33">
        <f t="shared" si="15"/>
        <v>0</v>
      </c>
      <c r="I64" s="34">
        <v>1.95</v>
      </c>
      <c r="J64" s="33">
        <f t="shared" si="16"/>
        <v>0</v>
      </c>
      <c r="K64" s="34">
        <f t="shared" si="17"/>
        <v>41.180000000000007</v>
      </c>
      <c r="L64" s="35">
        <f t="shared" si="17"/>
        <v>0</v>
      </c>
      <c r="M64" s="34">
        <f t="shared" si="18"/>
        <v>48.081675171587555</v>
      </c>
      <c r="N64" s="35">
        <f t="shared" si="19"/>
        <v>0</v>
      </c>
      <c r="P64" s="48"/>
    </row>
    <row r="65" spans="1:14" ht="15" x14ac:dyDescent="0.2">
      <c r="A65" s="30"/>
      <c r="B65" s="31" t="s">
        <v>83</v>
      </c>
      <c r="C65" s="32"/>
      <c r="D65" s="33" t="s">
        <v>59</v>
      </c>
      <c r="E65" s="34">
        <f>4.45*1.8</f>
        <v>8.01</v>
      </c>
      <c r="F65" s="33">
        <f>C65*E65</f>
        <v>0</v>
      </c>
      <c r="G65" s="34">
        <v>34.6</v>
      </c>
      <c r="H65" s="33">
        <f t="shared" si="15"/>
        <v>0</v>
      </c>
      <c r="I65" s="34">
        <v>10.25</v>
      </c>
      <c r="J65" s="33">
        <f t="shared" si="16"/>
        <v>0</v>
      </c>
      <c r="K65" s="34">
        <f t="shared" si="17"/>
        <v>52.86</v>
      </c>
      <c r="L65" s="35">
        <f t="shared" si="17"/>
        <v>0</v>
      </c>
      <c r="M65" s="34">
        <f t="shared" si="18"/>
        <v>61.719216842402084</v>
      </c>
      <c r="N65" s="35">
        <f t="shared" si="19"/>
        <v>0</v>
      </c>
    </row>
    <row r="66" spans="1:14" ht="15" x14ac:dyDescent="0.2">
      <c r="A66" s="30"/>
      <c r="B66" s="31" t="s">
        <v>84</v>
      </c>
      <c r="C66" s="32"/>
      <c r="D66" s="33" t="s">
        <v>27</v>
      </c>
      <c r="E66" s="34">
        <f>8.5*1.8</f>
        <v>15.3</v>
      </c>
      <c r="F66" s="33">
        <f t="shared" si="14"/>
        <v>0</v>
      </c>
      <c r="G66" s="34">
        <v>32.65</v>
      </c>
      <c r="H66" s="33">
        <f t="shared" si="15"/>
        <v>0</v>
      </c>
      <c r="I66" s="34">
        <v>3.5</v>
      </c>
      <c r="J66" s="33">
        <f t="shared" si="16"/>
        <v>0</v>
      </c>
      <c r="K66" s="34">
        <f t="shared" si="17"/>
        <v>51.45</v>
      </c>
      <c r="L66" s="35">
        <f t="shared" si="17"/>
        <v>0</v>
      </c>
      <c r="M66" s="34">
        <f t="shared" si="18"/>
        <v>60.072904020839715</v>
      </c>
      <c r="N66" s="35">
        <f t="shared" si="19"/>
        <v>0</v>
      </c>
    </row>
    <row r="67" spans="1:14" ht="15" x14ac:dyDescent="0.2">
      <c r="A67" s="36"/>
      <c r="B67" s="37" t="s">
        <v>55</v>
      </c>
      <c r="C67" s="32"/>
      <c r="D67" s="33"/>
      <c r="E67" s="34"/>
      <c r="F67" s="38">
        <f>SUM(F53:F66)</f>
        <v>0</v>
      </c>
      <c r="G67" s="34"/>
      <c r="H67" s="38">
        <f>SUM(H53:H66)</f>
        <v>0</v>
      </c>
      <c r="I67" s="34"/>
      <c r="J67" s="38">
        <f>SUM(J53:J66)</f>
        <v>0</v>
      </c>
      <c r="K67" s="34"/>
      <c r="L67" s="39">
        <f>SUM(L53:L66)</f>
        <v>0</v>
      </c>
      <c r="M67" s="34"/>
      <c r="N67" s="39">
        <f>SUM(N53:N66)</f>
        <v>0</v>
      </c>
    </row>
    <row r="68" spans="1:14" ht="15" x14ac:dyDescent="0.2">
      <c r="A68" s="40"/>
      <c r="B68" s="41"/>
      <c r="C68" s="42"/>
      <c r="D68" s="43"/>
      <c r="E68" s="44"/>
      <c r="F68" s="45"/>
      <c r="G68" s="44"/>
      <c r="H68" s="45"/>
      <c r="I68" s="44"/>
      <c r="J68" s="45"/>
      <c r="K68" s="44"/>
      <c r="L68" s="46"/>
      <c r="M68" s="44"/>
      <c r="N68" s="35"/>
    </row>
    <row r="69" spans="1:14" ht="15" x14ac:dyDescent="0.2">
      <c r="A69" s="40">
        <v>6</v>
      </c>
      <c r="B69" s="41" t="s">
        <v>85</v>
      </c>
      <c r="C69" s="42"/>
      <c r="D69" s="43"/>
      <c r="E69" s="44"/>
      <c r="F69" s="45"/>
      <c r="G69" s="44"/>
      <c r="H69" s="45"/>
      <c r="I69" s="44"/>
      <c r="J69" s="45"/>
      <c r="K69" s="44"/>
      <c r="L69" s="46"/>
      <c r="M69" s="44"/>
      <c r="N69" s="35"/>
    </row>
    <row r="70" spans="1:14" ht="15" x14ac:dyDescent="0.2">
      <c r="A70" s="30"/>
      <c r="B70" s="31" t="s">
        <v>58</v>
      </c>
      <c r="C70" s="32"/>
      <c r="D70" s="33" t="s">
        <v>59</v>
      </c>
      <c r="E70" s="34">
        <v>3</v>
      </c>
      <c r="F70" s="33">
        <f t="shared" ref="F70:F75" si="20">C70*E70</f>
        <v>0</v>
      </c>
      <c r="G70" s="34">
        <v>3</v>
      </c>
      <c r="H70" s="33">
        <f t="shared" ref="H70:H75" si="21">C70*G70</f>
        <v>0</v>
      </c>
      <c r="I70" s="34">
        <v>98</v>
      </c>
      <c r="J70" s="33">
        <f t="shared" ref="J70:J75" si="22">C70*I70</f>
        <v>0</v>
      </c>
      <c r="K70" s="34">
        <f t="shared" ref="K70:L75" si="23">E70+G70+I70</f>
        <v>104</v>
      </c>
      <c r="L70" s="35">
        <f t="shared" si="23"/>
        <v>0</v>
      </c>
      <c r="M70" s="34">
        <f t="shared" ref="M70:M75" si="24">K70*($I$138+1)</f>
        <v>121.43016556204724</v>
      </c>
      <c r="N70" s="35">
        <f t="shared" ref="N70:N75" si="25">C70*M70</f>
        <v>0</v>
      </c>
    </row>
    <row r="71" spans="1:14" ht="15" x14ac:dyDescent="0.2">
      <c r="A71" s="30"/>
      <c r="B71" s="31" t="s">
        <v>60</v>
      </c>
      <c r="C71" s="32"/>
      <c r="D71" s="33" t="s">
        <v>5</v>
      </c>
      <c r="E71" s="34">
        <f>8.86*1.8</f>
        <v>15.947999999999999</v>
      </c>
      <c r="F71" s="33">
        <f t="shared" si="20"/>
        <v>0</v>
      </c>
      <c r="G71" s="34">
        <v>12.56</v>
      </c>
      <c r="H71" s="33">
        <f t="shared" si="21"/>
        <v>0</v>
      </c>
      <c r="I71" s="34">
        <v>4.5599999999999996</v>
      </c>
      <c r="J71" s="33">
        <f t="shared" si="22"/>
        <v>0</v>
      </c>
      <c r="K71" s="34">
        <f t="shared" si="23"/>
        <v>33.067999999999998</v>
      </c>
      <c r="L71" s="35">
        <f t="shared" si="23"/>
        <v>0</v>
      </c>
      <c r="M71" s="34">
        <f t="shared" si="24"/>
        <v>38.610122257747861</v>
      </c>
      <c r="N71" s="35">
        <f t="shared" si="25"/>
        <v>0</v>
      </c>
    </row>
    <row r="72" spans="1:14" ht="15" x14ac:dyDescent="0.2">
      <c r="A72" s="30"/>
      <c r="B72" s="31" t="s">
        <v>78</v>
      </c>
      <c r="C72" s="32"/>
      <c r="D72" s="33" t="s">
        <v>62</v>
      </c>
      <c r="E72" s="34">
        <v>0.33</v>
      </c>
      <c r="F72" s="33">
        <f t="shared" si="20"/>
        <v>0</v>
      </c>
      <c r="G72" s="34">
        <v>0.32</v>
      </c>
      <c r="H72" s="33">
        <f t="shared" si="21"/>
        <v>0</v>
      </c>
      <c r="I72" s="34">
        <v>0.16</v>
      </c>
      <c r="J72" s="33">
        <f t="shared" si="22"/>
        <v>0</v>
      </c>
      <c r="K72" s="34">
        <f t="shared" si="23"/>
        <v>0.81</v>
      </c>
      <c r="L72" s="35">
        <f t="shared" si="23"/>
        <v>0</v>
      </c>
      <c r="M72" s="34">
        <f t="shared" si="24"/>
        <v>0.94575417408902185</v>
      </c>
      <c r="N72" s="35">
        <f t="shared" si="25"/>
        <v>0</v>
      </c>
    </row>
    <row r="73" spans="1:14" ht="15" x14ac:dyDescent="0.2">
      <c r="A73" s="30"/>
      <c r="B73" s="31" t="s">
        <v>61</v>
      </c>
      <c r="C73" s="32"/>
      <c r="D73" s="33" t="s">
        <v>62</v>
      </c>
      <c r="E73" s="34">
        <v>0.33</v>
      </c>
      <c r="F73" s="33">
        <f t="shared" si="20"/>
        <v>0</v>
      </c>
      <c r="G73" s="34">
        <v>0.32</v>
      </c>
      <c r="H73" s="33">
        <f t="shared" si="21"/>
        <v>0</v>
      </c>
      <c r="I73" s="34">
        <v>0.16</v>
      </c>
      <c r="J73" s="33">
        <f t="shared" si="22"/>
        <v>0</v>
      </c>
      <c r="K73" s="34">
        <f t="shared" si="23"/>
        <v>0.81</v>
      </c>
      <c r="L73" s="35">
        <f t="shared" si="23"/>
        <v>0</v>
      </c>
      <c r="M73" s="34">
        <f t="shared" si="24"/>
        <v>0.94575417408902185</v>
      </c>
      <c r="N73" s="35">
        <f t="shared" si="25"/>
        <v>0</v>
      </c>
    </row>
    <row r="74" spans="1:14" ht="15" x14ac:dyDescent="0.2">
      <c r="A74" s="30"/>
      <c r="B74" s="31" t="s">
        <v>63</v>
      </c>
      <c r="C74" s="32"/>
      <c r="D74" s="33" t="s">
        <v>59</v>
      </c>
      <c r="E74" s="34">
        <v>32.4</v>
      </c>
      <c r="F74" s="33">
        <f t="shared" si="20"/>
        <v>0</v>
      </c>
      <c r="G74" s="34">
        <v>145.19999999999999</v>
      </c>
      <c r="H74" s="33">
        <f t="shared" si="21"/>
        <v>0</v>
      </c>
      <c r="I74" s="34">
        <v>26.5</v>
      </c>
      <c r="J74" s="33">
        <f t="shared" si="22"/>
        <v>0</v>
      </c>
      <c r="K74" s="34">
        <f t="shared" si="23"/>
        <v>204.1</v>
      </c>
      <c r="L74" s="35">
        <f t="shared" si="23"/>
        <v>0</v>
      </c>
      <c r="M74" s="34">
        <f t="shared" si="24"/>
        <v>238.3066999155177</v>
      </c>
      <c r="N74" s="35">
        <f t="shared" si="25"/>
        <v>0</v>
      </c>
    </row>
    <row r="75" spans="1:14" ht="15" x14ac:dyDescent="0.2">
      <c r="A75" s="30"/>
      <c r="B75" s="31" t="s">
        <v>80</v>
      </c>
      <c r="C75" s="32"/>
      <c r="D75" s="33" t="s">
        <v>27</v>
      </c>
      <c r="E75" s="34">
        <v>8.1</v>
      </c>
      <c r="F75" s="33">
        <f t="shared" si="20"/>
        <v>0</v>
      </c>
      <c r="G75" s="34">
        <v>12.45</v>
      </c>
      <c r="H75" s="33">
        <f t="shared" si="21"/>
        <v>0</v>
      </c>
      <c r="I75" s="34">
        <v>0</v>
      </c>
      <c r="J75" s="33">
        <f t="shared" si="22"/>
        <v>0</v>
      </c>
      <c r="K75" s="34">
        <f t="shared" si="23"/>
        <v>20.549999999999997</v>
      </c>
      <c r="L75" s="35">
        <f t="shared" si="23"/>
        <v>0</v>
      </c>
      <c r="M75" s="34">
        <f t="shared" si="24"/>
        <v>23.994133675962214</v>
      </c>
      <c r="N75" s="35">
        <f t="shared" si="25"/>
        <v>0</v>
      </c>
    </row>
    <row r="76" spans="1:14" ht="15" x14ac:dyDescent="0.2">
      <c r="A76" s="36"/>
      <c r="B76" s="37" t="s">
        <v>55</v>
      </c>
      <c r="C76" s="32"/>
      <c r="D76" s="33"/>
      <c r="E76" s="34"/>
      <c r="F76" s="38">
        <f>SUM(F70:F75)</f>
        <v>0</v>
      </c>
      <c r="G76" s="34"/>
      <c r="H76" s="38">
        <f>SUM(H70:H75)</f>
        <v>0</v>
      </c>
      <c r="I76" s="34"/>
      <c r="J76" s="38">
        <f>SUM(J70:J75)</f>
        <v>0</v>
      </c>
      <c r="K76" s="34"/>
      <c r="L76" s="39">
        <f>SUM(L70:L75)</f>
        <v>0</v>
      </c>
      <c r="M76" s="34"/>
      <c r="N76" s="39">
        <f>SUM(N70:N75)</f>
        <v>0</v>
      </c>
    </row>
    <row r="77" spans="1:14" ht="15" x14ac:dyDescent="0.2">
      <c r="A77" s="40"/>
      <c r="B77" s="41"/>
      <c r="C77" s="42"/>
      <c r="D77" s="43"/>
      <c r="E77" s="44"/>
      <c r="F77" s="45"/>
      <c r="G77" s="44"/>
      <c r="H77" s="45"/>
      <c r="I77" s="44"/>
      <c r="J77" s="45"/>
      <c r="K77" s="44"/>
      <c r="L77" s="46"/>
      <c r="M77" s="44"/>
      <c r="N77" s="35"/>
    </row>
    <row r="78" spans="1:14" ht="15" x14ac:dyDescent="0.2">
      <c r="A78" s="40">
        <v>7</v>
      </c>
      <c r="B78" s="41" t="s">
        <v>86</v>
      </c>
      <c r="C78" s="42">
        <f>C25</f>
        <v>20</v>
      </c>
      <c r="D78" s="43" t="s">
        <v>57</v>
      </c>
      <c r="E78" s="44"/>
      <c r="F78" s="45"/>
      <c r="G78" s="44"/>
      <c r="H78" s="45"/>
      <c r="I78" s="44"/>
      <c r="J78" s="45"/>
      <c r="K78" s="44"/>
      <c r="L78" s="46"/>
      <c r="M78" s="44"/>
      <c r="N78" s="35"/>
    </row>
    <row r="79" spans="1:14" ht="15" x14ac:dyDescent="0.2">
      <c r="A79" s="30"/>
      <c r="B79" s="31" t="s">
        <v>87</v>
      </c>
      <c r="C79" s="32">
        <f>C78*3.5*3.281*31*1.2/2</f>
        <v>4271.8620000000001</v>
      </c>
      <c r="D79" s="33" t="s">
        <v>62</v>
      </c>
      <c r="E79" s="34">
        <v>0.81</v>
      </c>
      <c r="F79" s="33">
        <f>C79*E79</f>
        <v>3460.2082200000004</v>
      </c>
      <c r="G79" s="34">
        <v>0.47</v>
      </c>
      <c r="H79" s="33">
        <f>C79*G79</f>
        <v>2007.77514</v>
      </c>
      <c r="I79" s="34">
        <v>0.3</v>
      </c>
      <c r="J79" s="33">
        <f>C79*I79</f>
        <v>1281.5586000000001</v>
      </c>
      <c r="K79" s="34">
        <f t="shared" ref="K79:L81" si="26">E79+G79+I79</f>
        <v>1.58</v>
      </c>
      <c r="L79" s="35">
        <f t="shared" si="26"/>
        <v>6749.5419600000005</v>
      </c>
      <c r="M79" s="34">
        <f>K79*($I$138+1)</f>
        <v>1.844804438346487</v>
      </c>
      <c r="N79" s="35">
        <f>C79*M79</f>
        <v>7880.7499776037012</v>
      </c>
    </row>
    <row r="80" spans="1:14" ht="15" x14ac:dyDescent="0.2">
      <c r="A80" s="30"/>
      <c r="B80" s="31" t="s">
        <v>88</v>
      </c>
      <c r="C80" s="32">
        <f>C78*3</f>
        <v>60</v>
      </c>
      <c r="D80" s="33" t="s">
        <v>89</v>
      </c>
      <c r="E80" s="34">
        <v>55</v>
      </c>
      <c r="F80" s="33">
        <f>C80*E80</f>
        <v>3300</v>
      </c>
      <c r="G80" s="34">
        <v>62</v>
      </c>
      <c r="H80" s="33">
        <f>C80*G80</f>
        <v>3720</v>
      </c>
      <c r="I80" s="34">
        <v>10</v>
      </c>
      <c r="J80" s="33">
        <f>C80*I80</f>
        <v>600</v>
      </c>
      <c r="K80" s="34">
        <f t="shared" si="26"/>
        <v>127</v>
      </c>
      <c r="L80" s="35">
        <f t="shared" si="26"/>
        <v>7620</v>
      </c>
      <c r="M80" s="34">
        <f>K80*($I$138+1)</f>
        <v>148.28491371519229</v>
      </c>
      <c r="N80" s="35">
        <f>C80*M80</f>
        <v>8897.0948229115365</v>
      </c>
    </row>
    <row r="81" spans="1:14" ht="15" x14ac:dyDescent="0.2">
      <c r="A81" s="30"/>
      <c r="B81" s="31" t="s">
        <v>90</v>
      </c>
      <c r="C81" s="32">
        <f>C33*3.281*26*1.2/2</f>
        <v>12816.373439999999</v>
      </c>
      <c r="D81" s="33" t="s">
        <v>62</v>
      </c>
      <c r="E81" s="34">
        <v>0.81</v>
      </c>
      <c r="F81" s="33">
        <f>C81*E81</f>
        <v>10381.262486400001</v>
      </c>
      <c r="G81" s="34">
        <v>0.47</v>
      </c>
      <c r="H81" s="33">
        <f>C81*G81</f>
        <v>6023.6955167999995</v>
      </c>
      <c r="I81" s="34">
        <v>0.3</v>
      </c>
      <c r="J81" s="33">
        <f>C81*I81</f>
        <v>3844.9120319999997</v>
      </c>
      <c r="K81" s="34">
        <f t="shared" si="26"/>
        <v>1.58</v>
      </c>
      <c r="L81" s="35">
        <f t="shared" si="26"/>
        <v>20249.870035200001</v>
      </c>
      <c r="M81" s="34">
        <f>K81*($I$138+1)</f>
        <v>1.844804438346487</v>
      </c>
      <c r="N81" s="35">
        <f>C81*M81</f>
        <v>23643.702605618033</v>
      </c>
    </row>
    <row r="82" spans="1:14" ht="15" x14ac:dyDescent="0.2">
      <c r="A82" s="36"/>
      <c r="B82" s="37" t="s">
        <v>55</v>
      </c>
      <c r="C82" s="32"/>
      <c r="D82" s="33"/>
      <c r="E82" s="34"/>
      <c r="F82" s="39">
        <f>SUM(F79:F81)</f>
        <v>17141.470706400003</v>
      </c>
      <c r="G82" s="34"/>
      <c r="H82" s="39">
        <f>SUM(H79:H81)</f>
        <v>11751.4706568</v>
      </c>
      <c r="I82" s="34"/>
      <c r="J82" s="39">
        <f>SUM(J79:J81)</f>
        <v>5726.4706319999996</v>
      </c>
      <c r="K82" s="34"/>
      <c r="L82" s="39">
        <f>SUM(L79:L81)</f>
        <v>34619.411995200004</v>
      </c>
      <c r="M82" s="34"/>
      <c r="N82" s="39">
        <f>SUM(N79:N81)</f>
        <v>40421.547406133272</v>
      </c>
    </row>
    <row r="83" spans="1:14" ht="15" x14ac:dyDescent="0.2">
      <c r="A83" s="40"/>
      <c r="B83" s="41"/>
      <c r="C83" s="42"/>
      <c r="D83" s="43"/>
      <c r="E83" s="44"/>
      <c r="F83" s="45"/>
      <c r="G83" s="44"/>
      <c r="H83" s="45"/>
      <c r="I83" s="44"/>
      <c r="J83" s="45"/>
      <c r="K83" s="44"/>
      <c r="L83" s="46"/>
      <c r="M83" s="44"/>
      <c r="N83" s="35"/>
    </row>
    <row r="84" spans="1:14" ht="15" x14ac:dyDescent="0.2">
      <c r="A84" s="40">
        <v>8</v>
      </c>
      <c r="B84" s="41" t="s">
        <v>91</v>
      </c>
      <c r="C84" s="42">
        <f>(C33/2)*1.2</f>
        <v>150.24</v>
      </c>
      <c r="D84" s="43" t="s">
        <v>27</v>
      </c>
      <c r="E84" s="44"/>
      <c r="F84" s="45"/>
      <c r="G84" s="44"/>
      <c r="H84" s="45"/>
      <c r="I84" s="44"/>
      <c r="J84" s="45"/>
      <c r="K84" s="44"/>
      <c r="L84" s="46"/>
      <c r="M84" s="44"/>
      <c r="N84" s="35"/>
    </row>
    <row r="85" spans="1:14" ht="15" x14ac:dyDescent="0.2">
      <c r="A85" s="30"/>
      <c r="B85" s="31" t="s">
        <v>92</v>
      </c>
      <c r="C85" s="32">
        <f>C84</f>
        <v>150.24</v>
      </c>
      <c r="D85" s="33" t="s">
        <v>27</v>
      </c>
      <c r="E85" s="34">
        <f>3.45*1.8</f>
        <v>6.2100000000000009</v>
      </c>
      <c r="F85" s="33">
        <f t="shared" ref="F85:F95" si="27">C85*E85</f>
        <v>932.99040000000014</v>
      </c>
      <c r="G85" s="34">
        <v>4.5999999999999996</v>
      </c>
      <c r="H85" s="33">
        <f t="shared" ref="H85:H95" si="28">C85*G85</f>
        <v>691.10400000000004</v>
      </c>
      <c r="I85" s="34">
        <v>0.75</v>
      </c>
      <c r="J85" s="33">
        <f t="shared" ref="J85:J95" si="29">C85*I85</f>
        <v>112.68</v>
      </c>
      <c r="K85" s="34">
        <f t="shared" ref="K85:L95" si="30">E85+G85+I85</f>
        <v>11.56</v>
      </c>
      <c r="L85" s="35">
        <f t="shared" si="30"/>
        <v>1736.7744000000002</v>
      </c>
      <c r="M85" s="34">
        <f t="shared" ref="M85:M95" si="31">K85*($I$138+1)</f>
        <v>13.497429941319867</v>
      </c>
      <c r="N85" s="35">
        <f t="shared" ref="N85:N95" si="32">C85*M85</f>
        <v>2027.8538743838969</v>
      </c>
    </row>
    <row r="86" spans="1:14" ht="15" x14ac:dyDescent="0.2">
      <c r="A86" s="30"/>
      <c r="B86" s="31" t="s">
        <v>93</v>
      </c>
      <c r="C86" s="32">
        <f>C84*3.8</f>
        <v>570.91200000000003</v>
      </c>
      <c r="D86" s="33" t="s">
        <v>5</v>
      </c>
      <c r="E86" s="34">
        <f>9.5*1.8</f>
        <v>17.100000000000001</v>
      </c>
      <c r="F86" s="33">
        <f t="shared" si="27"/>
        <v>9762.5952000000016</v>
      </c>
      <c r="G86" s="34">
        <v>12.75</v>
      </c>
      <c r="H86" s="33">
        <f t="shared" si="28"/>
        <v>7279.1280000000006</v>
      </c>
      <c r="I86" s="34">
        <v>1.2</v>
      </c>
      <c r="J86" s="33">
        <f t="shared" si="29"/>
        <v>685.09440000000006</v>
      </c>
      <c r="K86" s="34">
        <f t="shared" si="30"/>
        <v>31.05</v>
      </c>
      <c r="L86" s="35">
        <f t="shared" si="30"/>
        <v>17726.817600000002</v>
      </c>
      <c r="M86" s="34">
        <f t="shared" si="31"/>
        <v>36.253910006745834</v>
      </c>
      <c r="N86" s="35">
        <f t="shared" si="32"/>
        <v>20697.792269771278</v>
      </c>
    </row>
    <row r="87" spans="1:14" ht="15" x14ac:dyDescent="0.2">
      <c r="A87" s="30"/>
      <c r="B87" s="31" t="s">
        <v>77</v>
      </c>
      <c r="C87" s="32">
        <f>C84*0.2</f>
        <v>30.048000000000002</v>
      </c>
      <c r="D87" s="33" t="s">
        <v>5</v>
      </c>
      <c r="E87" s="34">
        <f>10.5*1.8</f>
        <v>18.900000000000002</v>
      </c>
      <c r="F87" s="33">
        <f t="shared" si="27"/>
        <v>567.9072000000001</v>
      </c>
      <c r="G87" s="34">
        <v>13.4</v>
      </c>
      <c r="H87" s="33">
        <f t="shared" si="28"/>
        <v>402.64320000000004</v>
      </c>
      <c r="I87" s="34">
        <v>0.5</v>
      </c>
      <c r="J87" s="33">
        <f t="shared" si="29"/>
        <v>15.024000000000001</v>
      </c>
      <c r="K87" s="34">
        <f t="shared" si="30"/>
        <v>32.800000000000004</v>
      </c>
      <c r="L87" s="35">
        <f t="shared" si="30"/>
        <v>985.57440000000008</v>
      </c>
      <c r="M87" s="34">
        <f t="shared" si="31"/>
        <v>38.297206061876444</v>
      </c>
      <c r="N87" s="35">
        <f t="shared" si="32"/>
        <v>1150.7544477472634</v>
      </c>
    </row>
    <row r="88" spans="1:14" ht="15" x14ac:dyDescent="0.2">
      <c r="A88" s="30"/>
      <c r="B88" s="31" t="s">
        <v>94</v>
      </c>
      <c r="C88" s="32">
        <f>C84</f>
        <v>150.24</v>
      </c>
      <c r="D88" s="33" t="s">
        <v>27</v>
      </c>
      <c r="E88" s="34">
        <f>10.5*1.8</f>
        <v>18.900000000000002</v>
      </c>
      <c r="F88" s="33">
        <f t="shared" si="27"/>
        <v>2839.5360000000005</v>
      </c>
      <c r="G88" s="34">
        <v>14.65</v>
      </c>
      <c r="H88" s="33">
        <f t="shared" si="28"/>
        <v>2201.0160000000001</v>
      </c>
      <c r="I88" s="34">
        <v>0.3</v>
      </c>
      <c r="J88" s="33">
        <f t="shared" si="29"/>
        <v>45.072000000000003</v>
      </c>
      <c r="K88" s="34">
        <f t="shared" si="30"/>
        <v>33.85</v>
      </c>
      <c r="L88" s="35">
        <f t="shared" si="30"/>
        <v>5085.6240000000007</v>
      </c>
      <c r="M88" s="34">
        <f t="shared" si="31"/>
        <v>39.523183694954803</v>
      </c>
      <c r="N88" s="35">
        <f t="shared" si="32"/>
        <v>5937.9631183300098</v>
      </c>
    </row>
    <row r="89" spans="1:14" ht="15" x14ac:dyDescent="0.2">
      <c r="A89" s="30"/>
      <c r="B89" s="31" t="s">
        <v>95</v>
      </c>
      <c r="C89" s="32">
        <f>C84*0.9</f>
        <v>135.21600000000001</v>
      </c>
      <c r="D89" s="33" t="s">
        <v>27</v>
      </c>
      <c r="E89" s="34">
        <f>10.5*1.8</f>
        <v>18.900000000000002</v>
      </c>
      <c r="F89" s="33">
        <f t="shared" si="27"/>
        <v>2555.5824000000002</v>
      </c>
      <c r="G89" s="34">
        <v>14.65</v>
      </c>
      <c r="H89" s="33">
        <f t="shared" si="28"/>
        <v>1980.9144000000001</v>
      </c>
      <c r="I89" s="34">
        <v>0.3</v>
      </c>
      <c r="J89" s="33">
        <f t="shared" si="29"/>
        <v>40.564799999999998</v>
      </c>
      <c r="K89" s="34">
        <f t="shared" si="30"/>
        <v>33.85</v>
      </c>
      <c r="L89" s="35">
        <f t="shared" si="30"/>
        <v>4577.0616000000009</v>
      </c>
      <c r="M89" s="34">
        <f t="shared" si="31"/>
        <v>39.523183694954803</v>
      </c>
      <c r="N89" s="35">
        <f t="shared" si="32"/>
        <v>5344.166806497009</v>
      </c>
    </row>
    <row r="90" spans="1:14" ht="15" x14ac:dyDescent="0.2">
      <c r="A90" s="30"/>
      <c r="B90" s="31" t="s">
        <v>96</v>
      </c>
      <c r="C90" s="32">
        <f>C87</f>
        <v>30.048000000000002</v>
      </c>
      <c r="D90" s="33" t="s">
        <v>27</v>
      </c>
      <c r="E90" s="34">
        <f>10.5*1.8</f>
        <v>18.900000000000002</v>
      </c>
      <c r="F90" s="33">
        <f t="shared" si="27"/>
        <v>567.9072000000001</v>
      </c>
      <c r="G90" s="34">
        <v>14.9</v>
      </c>
      <c r="H90" s="33">
        <f t="shared" si="28"/>
        <v>447.71520000000004</v>
      </c>
      <c r="I90" s="34">
        <v>0.3</v>
      </c>
      <c r="J90" s="33">
        <f t="shared" si="29"/>
        <v>9.0144000000000002</v>
      </c>
      <c r="K90" s="34">
        <f t="shared" si="30"/>
        <v>34.1</v>
      </c>
      <c r="L90" s="35">
        <f t="shared" si="30"/>
        <v>1024.6368000000002</v>
      </c>
      <c r="M90" s="34">
        <f t="shared" si="31"/>
        <v>39.815083131402027</v>
      </c>
      <c r="N90" s="35">
        <f t="shared" si="32"/>
        <v>1196.3636179323682</v>
      </c>
    </row>
    <row r="91" spans="1:14" ht="15" x14ac:dyDescent="0.2">
      <c r="A91" s="30"/>
      <c r="B91" s="31" t="s">
        <v>97</v>
      </c>
      <c r="C91" s="32">
        <f>C90*0.9</f>
        <v>27.043200000000002</v>
      </c>
      <c r="D91" s="33" t="s">
        <v>27</v>
      </c>
      <c r="E91" s="34">
        <f>10.5*1.8</f>
        <v>18.900000000000002</v>
      </c>
      <c r="F91" s="33">
        <f t="shared" si="27"/>
        <v>511.11648000000008</v>
      </c>
      <c r="G91" s="34">
        <v>14.9</v>
      </c>
      <c r="H91" s="33">
        <f t="shared" si="28"/>
        <v>402.94368000000003</v>
      </c>
      <c r="I91" s="34">
        <v>0.3</v>
      </c>
      <c r="J91" s="33">
        <f t="shared" si="29"/>
        <v>8.1129600000000011</v>
      </c>
      <c r="K91" s="34">
        <f t="shared" si="30"/>
        <v>34.1</v>
      </c>
      <c r="L91" s="35">
        <f t="shared" si="30"/>
        <v>922.17312000000015</v>
      </c>
      <c r="M91" s="34">
        <f t="shared" si="31"/>
        <v>39.815083131402027</v>
      </c>
      <c r="N91" s="35">
        <f t="shared" si="32"/>
        <v>1076.7272561391314</v>
      </c>
    </row>
    <row r="92" spans="1:14" ht="15" x14ac:dyDescent="0.2">
      <c r="A92" s="30"/>
      <c r="B92" s="31" t="s">
        <v>98</v>
      </c>
      <c r="C92" s="32">
        <f>C86+C87</f>
        <v>600.96</v>
      </c>
      <c r="D92" s="33" t="s">
        <v>5</v>
      </c>
      <c r="E92" s="34">
        <f>7.5*1.8</f>
        <v>13.5</v>
      </c>
      <c r="F92" s="33">
        <f t="shared" si="27"/>
        <v>8112.9600000000009</v>
      </c>
      <c r="G92" s="34">
        <v>9.4499999999999993</v>
      </c>
      <c r="H92" s="33">
        <f t="shared" si="28"/>
        <v>5679.0720000000001</v>
      </c>
      <c r="I92" s="34">
        <v>0.2</v>
      </c>
      <c r="J92" s="33">
        <f t="shared" si="29"/>
        <v>120.19200000000001</v>
      </c>
      <c r="K92" s="34">
        <f t="shared" si="30"/>
        <v>23.15</v>
      </c>
      <c r="L92" s="35">
        <f t="shared" si="30"/>
        <v>13912.224000000002</v>
      </c>
      <c r="M92" s="34">
        <f t="shared" si="31"/>
        <v>27.029887815013396</v>
      </c>
      <c r="N92" s="35">
        <f t="shared" si="32"/>
        <v>16243.881381310452</v>
      </c>
    </row>
    <row r="93" spans="1:14" ht="15" x14ac:dyDescent="0.2">
      <c r="A93" s="30"/>
      <c r="B93" s="31" t="s">
        <v>99</v>
      </c>
      <c r="C93" s="32">
        <f>C86</f>
        <v>570.91200000000003</v>
      </c>
      <c r="D93" s="33" t="s">
        <v>5</v>
      </c>
      <c r="E93" s="34">
        <f>13.5*1.8</f>
        <v>24.3</v>
      </c>
      <c r="F93" s="33">
        <f t="shared" si="27"/>
        <v>13873.161600000001</v>
      </c>
      <c r="G93" s="34">
        <v>9.4499999999999993</v>
      </c>
      <c r="H93" s="33">
        <f t="shared" si="28"/>
        <v>5395.1184000000003</v>
      </c>
      <c r="I93" s="34">
        <v>0.2</v>
      </c>
      <c r="J93" s="33">
        <f t="shared" si="29"/>
        <v>114.18240000000002</v>
      </c>
      <c r="K93" s="34">
        <f t="shared" si="30"/>
        <v>33.950000000000003</v>
      </c>
      <c r="L93" s="35">
        <f t="shared" si="30"/>
        <v>19382.462400000004</v>
      </c>
      <c r="M93" s="34">
        <f t="shared" si="31"/>
        <v>39.639943469533691</v>
      </c>
      <c r="N93" s="35">
        <f t="shared" si="32"/>
        <v>22630.919406078421</v>
      </c>
    </row>
    <row r="94" spans="1:14" ht="15" x14ac:dyDescent="0.2">
      <c r="A94" s="30"/>
      <c r="B94" s="31" t="s">
        <v>100</v>
      </c>
      <c r="C94" s="32">
        <f>(C9+C8+C9+C8)*3.2</f>
        <v>512</v>
      </c>
      <c r="D94" s="33" t="s">
        <v>5</v>
      </c>
      <c r="E94" s="34">
        <v>145</v>
      </c>
      <c r="F94" s="33">
        <f t="shared" si="27"/>
        <v>74240</v>
      </c>
      <c r="G94" s="34">
        <v>98</v>
      </c>
      <c r="H94" s="33">
        <f t="shared" si="28"/>
        <v>50176</v>
      </c>
      <c r="I94" s="34">
        <v>24</v>
      </c>
      <c r="J94" s="33">
        <f t="shared" si="29"/>
        <v>12288</v>
      </c>
      <c r="K94" s="34">
        <f t="shared" si="30"/>
        <v>267</v>
      </c>
      <c r="L94" s="35">
        <f t="shared" si="30"/>
        <v>136704</v>
      </c>
      <c r="M94" s="34">
        <f t="shared" si="31"/>
        <v>311.74859812564051</v>
      </c>
      <c r="N94" s="35">
        <f t="shared" si="32"/>
        <v>159615.28224032794</v>
      </c>
    </row>
    <row r="95" spans="1:14" ht="15" x14ac:dyDescent="0.2">
      <c r="A95" s="30"/>
      <c r="B95" s="31" t="s">
        <v>101</v>
      </c>
      <c r="C95" s="32">
        <v>13</v>
      </c>
      <c r="D95" s="33" t="s">
        <v>102</v>
      </c>
      <c r="E95" s="34">
        <v>234</v>
      </c>
      <c r="F95" s="33">
        <f t="shared" si="27"/>
        <v>3042</v>
      </c>
      <c r="G95" s="34">
        <v>98</v>
      </c>
      <c r="H95" s="33">
        <f t="shared" si="28"/>
        <v>1274</v>
      </c>
      <c r="I95" s="34">
        <v>20</v>
      </c>
      <c r="J95" s="33">
        <f t="shared" si="29"/>
        <v>260</v>
      </c>
      <c r="K95" s="34">
        <f t="shared" si="30"/>
        <v>352</v>
      </c>
      <c r="L95" s="35">
        <f t="shared" si="30"/>
        <v>4576</v>
      </c>
      <c r="M95" s="34">
        <f t="shared" si="31"/>
        <v>410.99440651769834</v>
      </c>
      <c r="N95" s="35">
        <f t="shared" si="32"/>
        <v>5342.9272847300781</v>
      </c>
    </row>
    <row r="96" spans="1:14" ht="15" x14ac:dyDescent="0.2">
      <c r="A96" s="36"/>
      <c r="B96" s="37" t="s">
        <v>55</v>
      </c>
      <c r="C96" s="32"/>
      <c r="D96" s="33"/>
      <c r="E96" s="34"/>
      <c r="F96" s="38">
        <f>SUM(F85:F95)</f>
        <v>117005.75648000001</v>
      </c>
      <c r="G96" s="34"/>
      <c r="H96" s="38">
        <f>SUM(H85:H95)</f>
        <v>75929.654880000002</v>
      </c>
      <c r="I96" s="34"/>
      <c r="J96" s="38">
        <f>SUM(J85:J95)</f>
        <v>13697.936959999999</v>
      </c>
      <c r="K96" s="34"/>
      <c r="L96" s="39">
        <f>SUM(L85:L95)</f>
        <v>206633.34832000002</v>
      </c>
      <c r="M96" s="34"/>
      <c r="N96" s="39">
        <f>SUM(N85:N95)</f>
        <v>241264.63170324784</v>
      </c>
    </row>
    <row r="97" spans="1:15" ht="15" x14ac:dyDescent="0.2">
      <c r="A97" s="40"/>
      <c r="B97" s="41"/>
      <c r="C97" s="42"/>
      <c r="D97" s="43"/>
      <c r="E97" s="44"/>
      <c r="F97" s="45"/>
      <c r="G97" s="44"/>
      <c r="H97" s="45"/>
      <c r="I97" s="44"/>
      <c r="J97" s="45"/>
      <c r="K97" s="44"/>
      <c r="L97" s="46"/>
      <c r="M97" s="44"/>
      <c r="N97" s="35"/>
    </row>
    <row r="98" spans="1:15" ht="15" x14ac:dyDescent="0.2">
      <c r="A98" s="40">
        <v>9</v>
      </c>
      <c r="B98" s="41" t="s">
        <v>103</v>
      </c>
      <c r="C98" s="42">
        <f>C7</f>
        <v>1375</v>
      </c>
      <c r="D98" s="43" t="s">
        <v>5</v>
      </c>
      <c r="E98" s="44"/>
      <c r="F98" s="45"/>
      <c r="G98" s="44"/>
      <c r="H98" s="45"/>
      <c r="I98" s="44"/>
      <c r="J98" s="45"/>
      <c r="K98" s="44"/>
      <c r="L98" s="46"/>
      <c r="M98" s="44"/>
      <c r="N98" s="35"/>
    </row>
    <row r="99" spans="1:15" ht="15" x14ac:dyDescent="0.2">
      <c r="A99" s="30"/>
      <c r="B99" s="31" t="s">
        <v>104</v>
      </c>
      <c r="C99" s="32">
        <f>C98*0.75*1.1</f>
        <v>1134.375</v>
      </c>
      <c r="D99" s="33" t="s">
        <v>59</v>
      </c>
      <c r="E99" s="34">
        <f>4.1*1.8</f>
        <v>7.38</v>
      </c>
      <c r="F99" s="33">
        <f>C99*E99</f>
        <v>8371.6875</v>
      </c>
      <c r="G99" s="34">
        <v>2</v>
      </c>
      <c r="H99" s="33">
        <f t="shared" ref="H99:H106" si="33">C99*G99</f>
        <v>2268.75</v>
      </c>
      <c r="I99" s="34">
        <v>8.4499999999999993</v>
      </c>
      <c r="J99" s="33">
        <f t="shared" ref="J99:J106" si="34">C99*I99</f>
        <v>9585.46875</v>
      </c>
      <c r="K99" s="34">
        <f t="shared" ref="K99:L106" si="35">E99+G99+I99</f>
        <v>17.829999999999998</v>
      </c>
      <c r="L99" s="35">
        <f t="shared" si="35"/>
        <v>20225.90625</v>
      </c>
      <c r="M99" s="34">
        <f t="shared" ref="M99:M106" si="36">K99*($I$138+1)</f>
        <v>20.818267807416365</v>
      </c>
      <c r="N99" s="35">
        <f t="shared" ref="N99:N106" si="37">C99*M99</f>
        <v>23615.722544037941</v>
      </c>
    </row>
    <row r="100" spans="1:15" ht="15" x14ac:dyDescent="0.2">
      <c r="A100" s="30"/>
      <c r="B100" s="31" t="s">
        <v>105</v>
      </c>
      <c r="C100" s="32">
        <f>C98*0.25*1.1</f>
        <v>378.12500000000006</v>
      </c>
      <c r="D100" s="33" t="s">
        <v>59</v>
      </c>
      <c r="E100" s="34">
        <v>32.4</v>
      </c>
      <c r="F100" s="33">
        <f t="shared" ref="F100:F106" si="38">C100*E100</f>
        <v>12251.250000000002</v>
      </c>
      <c r="G100" s="34">
        <f>125*1.1</f>
        <v>137.5</v>
      </c>
      <c r="H100" s="33">
        <f t="shared" si="33"/>
        <v>51992.187500000007</v>
      </c>
      <c r="I100" s="34">
        <v>26.5</v>
      </c>
      <c r="J100" s="33">
        <f t="shared" si="34"/>
        <v>10020.312500000002</v>
      </c>
      <c r="K100" s="34">
        <f t="shared" si="35"/>
        <v>196.4</v>
      </c>
      <c r="L100" s="35">
        <f t="shared" si="35"/>
        <v>74263.750000000015</v>
      </c>
      <c r="M100" s="34">
        <f t="shared" si="36"/>
        <v>229.31619727294304</v>
      </c>
      <c r="N100" s="35">
        <f t="shared" si="37"/>
        <v>86710.187093831599</v>
      </c>
    </row>
    <row r="101" spans="1:15" ht="15" x14ac:dyDescent="0.2">
      <c r="A101" s="30"/>
      <c r="B101" s="31" t="s">
        <v>106</v>
      </c>
      <c r="C101" s="32">
        <f>C98*2</f>
        <v>2750</v>
      </c>
      <c r="D101" s="33" t="s">
        <v>5</v>
      </c>
      <c r="E101" s="34">
        <f>3.2*1.8</f>
        <v>5.7600000000000007</v>
      </c>
      <c r="F101" s="33">
        <f t="shared" si="38"/>
        <v>15840.000000000002</v>
      </c>
      <c r="G101" s="34">
        <v>4.75</v>
      </c>
      <c r="H101" s="33">
        <f t="shared" si="33"/>
        <v>13062.5</v>
      </c>
      <c r="I101" s="34">
        <v>0.1</v>
      </c>
      <c r="J101" s="33">
        <f t="shared" si="34"/>
        <v>275</v>
      </c>
      <c r="K101" s="34">
        <f t="shared" si="35"/>
        <v>10.610000000000001</v>
      </c>
      <c r="L101" s="35">
        <f t="shared" si="35"/>
        <v>29177.5</v>
      </c>
      <c r="M101" s="34">
        <f t="shared" si="36"/>
        <v>12.388212082820397</v>
      </c>
      <c r="N101" s="35">
        <f t="shared" si="37"/>
        <v>34067.583227756091</v>
      </c>
    </row>
    <row r="102" spans="1:15" ht="15" x14ac:dyDescent="0.2">
      <c r="A102" s="30"/>
      <c r="B102" s="31" t="s">
        <v>107</v>
      </c>
      <c r="C102" s="32">
        <f>C98</f>
        <v>1375</v>
      </c>
      <c r="D102" s="33" t="s">
        <v>5</v>
      </c>
      <c r="E102" s="34">
        <f>1.5*1.8</f>
        <v>2.7</v>
      </c>
      <c r="F102" s="33">
        <f t="shared" si="38"/>
        <v>3712.5000000000005</v>
      </c>
      <c r="G102" s="34">
        <v>2.5</v>
      </c>
      <c r="H102" s="33">
        <f t="shared" si="33"/>
        <v>3437.5</v>
      </c>
      <c r="I102" s="34">
        <v>2.5</v>
      </c>
      <c r="J102" s="33">
        <f t="shared" si="34"/>
        <v>3437.5</v>
      </c>
      <c r="K102" s="34">
        <f t="shared" si="35"/>
        <v>7.7</v>
      </c>
      <c r="L102" s="35">
        <f t="shared" si="35"/>
        <v>10587.5</v>
      </c>
      <c r="M102" s="34">
        <f t="shared" si="36"/>
        <v>8.9905026425746506</v>
      </c>
      <c r="N102" s="35">
        <f t="shared" si="37"/>
        <v>12361.941133540144</v>
      </c>
    </row>
    <row r="103" spans="1:15" ht="15" x14ac:dyDescent="0.2">
      <c r="A103" s="30"/>
      <c r="B103" s="31" t="s">
        <v>108</v>
      </c>
      <c r="C103" s="32">
        <f>C98*0.2</f>
        <v>275</v>
      </c>
      <c r="D103" s="33" t="s">
        <v>59</v>
      </c>
      <c r="E103" s="34">
        <f>3*1.8</f>
        <v>5.4</v>
      </c>
      <c r="F103" s="33">
        <f t="shared" si="38"/>
        <v>1485</v>
      </c>
      <c r="G103" s="34">
        <v>33</v>
      </c>
      <c r="H103" s="33">
        <f t="shared" si="33"/>
        <v>9075</v>
      </c>
      <c r="I103" s="34">
        <v>0.5</v>
      </c>
      <c r="J103" s="33">
        <f t="shared" si="34"/>
        <v>137.5</v>
      </c>
      <c r="K103" s="34">
        <f t="shared" si="35"/>
        <v>38.9</v>
      </c>
      <c r="L103" s="35">
        <f t="shared" si="35"/>
        <v>10697.5</v>
      </c>
      <c r="M103" s="34">
        <f t="shared" si="36"/>
        <v>45.419552311188824</v>
      </c>
      <c r="N103" s="35">
        <f t="shared" si="37"/>
        <v>12490.376885576927</v>
      </c>
    </row>
    <row r="104" spans="1:15" ht="15" x14ac:dyDescent="0.2">
      <c r="A104" s="30"/>
      <c r="B104" s="31" t="s">
        <v>109</v>
      </c>
      <c r="C104" s="32">
        <f>C98*0.2</f>
        <v>275</v>
      </c>
      <c r="D104" s="33" t="s">
        <v>59</v>
      </c>
      <c r="E104" s="34">
        <f>2.1*1.8</f>
        <v>3.7800000000000002</v>
      </c>
      <c r="F104" s="33">
        <f t="shared" si="38"/>
        <v>1039.5</v>
      </c>
      <c r="G104" s="34">
        <v>18.5</v>
      </c>
      <c r="H104" s="33">
        <f t="shared" si="33"/>
        <v>5087.5</v>
      </c>
      <c r="I104" s="34">
        <v>0.5</v>
      </c>
      <c r="J104" s="33">
        <f t="shared" si="34"/>
        <v>137.5</v>
      </c>
      <c r="K104" s="34">
        <f t="shared" si="35"/>
        <v>22.78</v>
      </c>
      <c r="L104" s="35">
        <f t="shared" si="35"/>
        <v>6264.5</v>
      </c>
      <c r="M104" s="34">
        <f t="shared" si="36"/>
        <v>26.597876649071502</v>
      </c>
      <c r="N104" s="35">
        <f t="shared" si="37"/>
        <v>7314.4160784946625</v>
      </c>
    </row>
    <row r="105" spans="1:15" ht="15" x14ac:dyDescent="0.2">
      <c r="A105" s="30"/>
      <c r="B105" s="31" t="s">
        <v>110</v>
      </c>
      <c r="C105" s="32">
        <f>C9+C8+C9+C8+C9</f>
        <v>215</v>
      </c>
      <c r="D105" s="33" t="s">
        <v>27</v>
      </c>
      <c r="E105" s="34">
        <f>1*1.8</f>
        <v>1.8</v>
      </c>
      <c r="F105" s="33">
        <f>C105*E105</f>
        <v>387</v>
      </c>
      <c r="G105" s="34">
        <v>1.2</v>
      </c>
      <c r="H105" s="33">
        <f>C105*G105</f>
        <v>258</v>
      </c>
      <c r="I105" s="34">
        <v>0.1</v>
      </c>
      <c r="J105" s="33">
        <f>C105*I105</f>
        <v>21.5</v>
      </c>
      <c r="K105" s="34">
        <f>E105+G105+I105</f>
        <v>3.1</v>
      </c>
      <c r="L105" s="35">
        <f>F105+H105+J105</f>
        <v>666.5</v>
      </c>
      <c r="M105" s="34">
        <f t="shared" si="36"/>
        <v>3.6195530119456389</v>
      </c>
      <c r="N105" s="35">
        <f>C105*M105</f>
        <v>778.20389756831241</v>
      </c>
      <c r="O105" s="49"/>
    </row>
    <row r="106" spans="1:15" ht="15" x14ac:dyDescent="0.2">
      <c r="A106" s="30"/>
      <c r="B106" s="31" t="s">
        <v>111</v>
      </c>
      <c r="C106" s="32">
        <f>C98</f>
        <v>1375</v>
      </c>
      <c r="D106" s="33" t="s">
        <v>5</v>
      </c>
      <c r="E106" s="34">
        <f>1*1.8</f>
        <v>1.8</v>
      </c>
      <c r="F106" s="33">
        <f t="shared" si="38"/>
        <v>2475</v>
      </c>
      <c r="G106" s="34">
        <v>1.2</v>
      </c>
      <c r="H106" s="33">
        <f t="shared" si="33"/>
        <v>1650</v>
      </c>
      <c r="I106" s="34">
        <v>0.1</v>
      </c>
      <c r="J106" s="33">
        <f t="shared" si="34"/>
        <v>137.5</v>
      </c>
      <c r="K106" s="34">
        <f t="shared" si="35"/>
        <v>3.1</v>
      </c>
      <c r="L106" s="35">
        <f t="shared" si="35"/>
        <v>4262.5</v>
      </c>
      <c r="M106" s="34">
        <f t="shared" si="36"/>
        <v>3.6195530119456389</v>
      </c>
      <c r="N106" s="35">
        <f t="shared" si="37"/>
        <v>4976.8853914252531</v>
      </c>
      <c r="O106" s="49"/>
    </row>
    <row r="107" spans="1:15" ht="15" x14ac:dyDescent="0.2">
      <c r="A107" s="36"/>
      <c r="B107" s="37" t="s">
        <v>55</v>
      </c>
      <c r="C107" s="32"/>
      <c r="D107" s="33"/>
      <c r="E107" s="34"/>
      <c r="F107" s="38">
        <f>SUM(F99:F106)</f>
        <v>45561.9375</v>
      </c>
      <c r="G107" s="34"/>
      <c r="H107" s="38">
        <f>SUM(H99:H106)</f>
        <v>86831.4375</v>
      </c>
      <c r="I107" s="34"/>
      <c r="J107" s="38">
        <f>SUM(J99:J106)</f>
        <v>23752.28125</v>
      </c>
      <c r="K107" s="34"/>
      <c r="L107" s="39">
        <f>SUM(L99:L106)</f>
        <v>156145.65625</v>
      </c>
      <c r="M107" s="34"/>
      <c r="N107" s="39">
        <f>SUM(N99:N106)</f>
        <v>182315.31625223093</v>
      </c>
    </row>
    <row r="108" spans="1:15" ht="15" x14ac:dyDescent="0.2">
      <c r="A108" s="40"/>
      <c r="B108" s="41"/>
      <c r="C108" s="42"/>
      <c r="D108" s="43"/>
      <c r="E108" s="44"/>
      <c r="F108" s="45"/>
      <c r="G108" s="44"/>
      <c r="H108" s="45"/>
      <c r="I108" s="44"/>
      <c r="J108" s="45"/>
      <c r="K108" s="44"/>
      <c r="L108" s="46"/>
      <c r="M108" s="44"/>
      <c r="N108" s="35"/>
    </row>
    <row r="109" spans="1:15" ht="15" x14ac:dyDescent="0.2">
      <c r="A109" s="40">
        <v>10</v>
      </c>
      <c r="B109" s="41" t="s">
        <v>112</v>
      </c>
      <c r="C109" s="42"/>
      <c r="D109" s="43"/>
      <c r="E109" s="44"/>
      <c r="F109" s="45"/>
      <c r="G109" s="44"/>
      <c r="H109" s="45"/>
      <c r="I109" s="44"/>
      <c r="J109" s="45"/>
      <c r="K109" s="44"/>
      <c r="L109" s="46"/>
      <c r="M109" s="44"/>
      <c r="N109" s="35"/>
    </row>
    <row r="110" spans="1:15" ht="15" x14ac:dyDescent="0.2">
      <c r="A110" s="30"/>
      <c r="B110" s="31" t="s">
        <v>113</v>
      </c>
      <c r="C110" s="32">
        <f>C7*0.64</f>
        <v>880</v>
      </c>
      <c r="D110" s="33" t="s">
        <v>5</v>
      </c>
      <c r="E110" s="34">
        <f>12*1.8</f>
        <v>21.6</v>
      </c>
      <c r="F110" s="33">
        <f>C110*E110</f>
        <v>19008</v>
      </c>
      <c r="G110" s="34">
        <v>43.75</v>
      </c>
      <c r="H110" s="33">
        <f>C110*G110</f>
        <v>38500</v>
      </c>
      <c r="I110" s="34">
        <v>1.55</v>
      </c>
      <c r="J110" s="33">
        <f>C110*I110</f>
        <v>1364</v>
      </c>
      <c r="K110" s="34">
        <f t="shared" ref="K110:L113" si="39">E110+G110+I110</f>
        <v>66.899999999999991</v>
      </c>
      <c r="L110" s="35">
        <f t="shared" si="39"/>
        <v>58872</v>
      </c>
      <c r="M110" s="34">
        <f>K110*($I$138+1)</f>
        <v>78.112289193278457</v>
      </c>
      <c r="N110" s="35">
        <f>C110*M110</f>
        <v>68738.814490085046</v>
      </c>
    </row>
    <row r="111" spans="1:15" ht="15" x14ac:dyDescent="0.2">
      <c r="A111" s="30"/>
      <c r="B111" s="31" t="s">
        <v>114</v>
      </c>
      <c r="C111" s="32">
        <f>C9+C8</f>
        <v>80</v>
      </c>
      <c r="D111" s="33" t="s">
        <v>27</v>
      </c>
      <c r="E111" s="34">
        <v>28.9</v>
      </c>
      <c r="F111" s="33">
        <f>C111*E111</f>
        <v>2312</v>
      </c>
      <c r="G111" s="34">
        <v>45.76</v>
      </c>
      <c r="H111" s="33">
        <f>C111*G111</f>
        <v>3660.7999999999997</v>
      </c>
      <c r="I111" s="34">
        <v>4.2</v>
      </c>
      <c r="J111" s="33">
        <f>C111*I111</f>
        <v>336</v>
      </c>
      <c r="K111" s="34">
        <f t="shared" si="39"/>
        <v>78.86</v>
      </c>
      <c r="L111" s="35">
        <f t="shared" si="39"/>
        <v>6308.7999999999993</v>
      </c>
      <c r="M111" s="34">
        <f>K111*($I$138+1)</f>
        <v>92.076758232913889</v>
      </c>
      <c r="N111" s="35">
        <f>C111*M111</f>
        <v>7366.1406586331113</v>
      </c>
    </row>
    <row r="112" spans="1:15" ht="15" x14ac:dyDescent="0.2">
      <c r="A112" s="30"/>
      <c r="B112" s="31" t="s">
        <v>115</v>
      </c>
      <c r="C112" s="32">
        <f>C9+C8</f>
        <v>80</v>
      </c>
      <c r="D112" s="33" t="s">
        <v>27</v>
      </c>
      <c r="E112" s="34">
        <f>7.5*1.8</f>
        <v>13.5</v>
      </c>
      <c r="F112" s="33">
        <f>C112*E112</f>
        <v>1080</v>
      </c>
      <c r="G112" s="34">
        <v>23.67</v>
      </c>
      <c r="H112" s="33">
        <f>C112*G112</f>
        <v>1893.6000000000001</v>
      </c>
      <c r="I112" s="34">
        <v>5</v>
      </c>
      <c r="J112" s="33">
        <f>C112*I112</f>
        <v>400</v>
      </c>
      <c r="K112" s="34">
        <f t="shared" si="39"/>
        <v>42.17</v>
      </c>
      <c r="L112" s="35">
        <f t="shared" si="39"/>
        <v>3373.6000000000004</v>
      </c>
      <c r="M112" s="34">
        <f>K112*($I$138+1)</f>
        <v>49.237596939918575</v>
      </c>
      <c r="N112" s="35">
        <f>C112*M112</f>
        <v>3939.007755193486</v>
      </c>
    </row>
    <row r="113" spans="1:14" ht="15" x14ac:dyDescent="0.2">
      <c r="A113" s="30"/>
      <c r="B113" s="31" t="s">
        <v>116</v>
      </c>
      <c r="C113" s="32">
        <f>29*2*C9+18*2*C8</f>
        <v>4090</v>
      </c>
      <c r="D113" s="33" t="s">
        <v>27</v>
      </c>
      <c r="E113" s="34">
        <f>2.9*1.8</f>
        <v>5.22</v>
      </c>
      <c r="F113" s="33">
        <f>C113*E113</f>
        <v>21349.8</v>
      </c>
      <c r="G113" s="34">
        <v>4.9000000000000004</v>
      </c>
      <c r="H113" s="33">
        <f>C113*G113</f>
        <v>20041</v>
      </c>
      <c r="I113" s="34">
        <v>1</v>
      </c>
      <c r="J113" s="33">
        <f>C113*I113</f>
        <v>4090</v>
      </c>
      <c r="K113" s="34">
        <f t="shared" si="39"/>
        <v>11.120000000000001</v>
      </c>
      <c r="L113" s="35">
        <f t="shared" si="39"/>
        <v>45480.800000000003</v>
      </c>
      <c r="M113" s="34">
        <f>K113*($I$138+1)</f>
        <v>12.983686933172745</v>
      </c>
      <c r="N113" s="35">
        <f>C113*M113</f>
        <v>53103.279556676527</v>
      </c>
    </row>
    <row r="114" spans="1:14" ht="15" x14ac:dyDescent="0.2">
      <c r="A114" s="36"/>
      <c r="B114" s="37" t="s">
        <v>55</v>
      </c>
      <c r="C114" s="32"/>
      <c r="D114" s="33"/>
      <c r="E114" s="34"/>
      <c r="F114" s="38">
        <f>SUM(F110:F113)</f>
        <v>43749.8</v>
      </c>
      <c r="G114" s="34"/>
      <c r="H114" s="38">
        <f>SUM(H110:H113)</f>
        <v>64095.4</v>
      </c>
      <c r="I114" s="34"/>
      <c r="J114" s="38">
        <f>SUM(J110:J113)</f>
        <v>6190</v>
      </c>
      <c r="K114" s="34"/>
      <c r="L114" s="39">
        <f>SUM(L110:L113)</f>
        <v>114035.20000000001</v>
      </c>
      <c r="M114" s="34"/>
      <c r="N114" s="39">
        <f>SUM(N110:N113)</f>
        <v>133147.24246058817</v>
      </c>
    </row>
    <row r="115" spans="1:14" ht="15" x14ac:dyDescent="0.2">
      <c r="A115" s="40"/>
      <c r="B115" s="41"/>
      <c r="C115" s="42"/>
      <c r="D115" s="43"/>
      <c r="E115" s="44"/>
      <c r="F115" s="45"/>
      <c r="G115" s="44"/>
      <c r="H115" s="45"/>
      <c r="I115" s="44"/>
      <c r="J115" s="45"/>
      <c r="K115" s="44"/>
      <c r="L115" s="46"/>
      <c r="M115" s="44"/>
      <c r="N115" s="35"/>
    </row>
    <row r="116" spans="1:14" ht="30" x14ac:dyDescent="0.2">
      <c r="A116" s="40">
        <v>11</v>
      </c>
      <c r="B116" s="41" t="s">
        <v>117</v>
      </c>
      <c r="C116" s="42"/>
      <c r="D116" s="43"/>
      <c r="E116" s="44"/>
      <c r="F116" s="45"/>
      <c r="G116" s="44"/>
      <c r="H116" s="45"/>
      <c r="I116" s="44"/>
      <c r="J116" s="45"/>
      <c r="K116" s="44"/>
      <c r="L116" s="46"/>
      <c r="M116" s="44"/>
      <c r="N116" s="35"/>
    </row>
    <row r="117" spans="1:14" ht="15" x14ac:dyDescent="0.2">
      <c r="A117" s="30"/>
      <c r="B117" s="31" t="s">
        <v>118</v>
      </c>
      <c r="C117" s="32">
        <f>C7*0.7</f>
        <v>962.49999999999989</v>
      </c>
      <c r="D117" s="33" t="s">
        <v>5</v>
      </c>
      <c r="E117" s="34">
        <v>12.34</v>
      </c>
      <c r="F117" s="33">
        <f t="shared" ref="F117:F129" si="40">C117*E117</f>
        <v>11877.249999999998</v>
      </c>
      <c r="G117" s="34">
        <v>9.8000000000000007</v>
      </c>
      <c r="H117" s="33">
        <f t="shared" ref="H117:H129" si="41">C117*G117</f>
        <v>9432.5</v>
      </c>
      <c r="I117" s="34">
        <v>3.5</v>
      </c>
      <c r="J117" s="33">
        <f t="shared" ref="J117:J129" si="42">C117*I117</f>
        <v>3368.7499999999995</v>
      </c>
      <c r="K117" s="34">
        <f t="shared" ref="K117:L129" si="43">E117+G117+I117</f>
        <v>25.64</v>
      </c>
      <c r="L117" s="35">
        <f t="shared" si="43"/>
        <v>24678.5</v>
      </c>
      <c r="M117" s="34">
        <f t="shared" ref="M117:M129" si="44">K117*($I$138+1)</f>
        <v>29.937206202027799</v>
      </c>
      <c r="N117" s="35">
        <f t="shared" ref="N117:N129" si="45">C117*M117</f>
        <v>28814.560969451752</v>
      </c>
    </row>
    <row r="118" spans="1:14" ht="15" x14ac:dyDescent="0.2">
      <c r="A118" s="30"/>
      <c r="B118" s="31" t="s">
        <v>119</v>
      </c>
      <c r="C118" s="32">
        <f>C117</f>
        <v>962.49999999999989</v>
      </c>
      <c r="D118" s="33" t="s">
        <v>5</v>
      </c>
      <c r="E118" s="34">
        <v>18.899999999999999</v>
      </c>
      <c r="F118" s="33">
        <f t="shared" si="40"/>
        <v>18191.249999999996</v>
      </c>
      <c r="G118" s="34">
        <v>25</v>
      </c>
      <c r="H118" s="33">
        <f t="shared" si="41"/>
        <v>24062.499999999996</v>
      </c>
      <c r="I118" s="34">
        <v>7.8</v>
      </c>
      <c r="J118" s="33">
        <f t="shared" si="42"/>
        <v>7507.4999999999991</v>
      </c>
      <c r="K118" s="34">
        <f t="shared" si="43"/>
        <v>51.699999999999996</v>
      </c>
      <c r="L118" s="35">
        <f t="shared" si="43"/>
        <v>49761.249999999993</v>
      </c>
      <c r="M118" s="34">
        <f t="shared" si="44"/>
        <v>60.364803457286939</v>
      </c>
      <c r="N118" s="35">
        <f t="shared" si="45"/>
        <v>58101.12332763867</v>
      </c>
    </row>
    <row r="119" spans="1:14" ht="15" x14ac:dyDescent="0.2">
      <c r="A119" s="30"/>
      <c r="B119" s="31" t="s">
        <v>120</v>
      </c>
      <c r="C119" s="32">
        <f>C118*0.2</f>
        <v>192.5</v>
      </c>
      <c r="D119" s="33" t="s">
        <v>27</v>
      </c>
      <c r="E119" s="34">
        <f>3.4</f>
        <v>3.4</v>
      </c>
      <c r="F119" s="33">
        <f t="shared" si="40"/>
        <v>654.5</v>
      </c>
      <c r="G119" s="34">
        <v>9.5</v>
      </c>
      <c r="H119" s="33">
        <f t="shared" si="41"/>
        <v>1828.75</v>
      </c>
      <c r="I119" s="34">
        <v>2</v>
      </c>
      <c r="J119" s="33">
        <f t="shared" si="42"/>
        <v>385</v>
      </c>
      <c r="K119" s="34">
        <f t="shared" si="43"/>
        <v>14.9</v>
      </c>
      <c r="L119" s="35">
        <f t="shared" si="43"/>
        <v>2868.25</v>
      </c>
      <c r="M119" s="34">
        <f t="shared" si="44"/>
        <v>17.397206412254846</v>
      </c>
      <c r="N119" s="35">
        <f t="shared" si="45"/>
        <v>3348.9622343590577</v>
      </c>
    </row>
    <row r="120" spans="1:14" ht="15" x14ac:dyDescent="0.2">
      <c r="A120" s="30"/>
      <c r="B120" s="31" t="s">
        <v>121</v>
      </c>
      <c r="C120" s="32">
        <f>(C86+C87)*2</f>
        <v>1201.92</v>
      </c>
      <c r="D120" s="33" t="s">
        <v>5</v>
      </c>
      <c r="E120" s="34">
        <v>5.9</v>
      </c>
      <c r="F120" s="33">
        <f t="shared" si="40"/>
        <v>7091.3280000000004</v>
      </c>
      <c r="G120" s="34">
        <v>7.9</v>
      </c>
      <c r="H120" s="33">
        <f t="shared" si="41"/>
        <v>9495.1680000000015</v>
      </c>
      <c r="I120" s="34">
        <v>2.5</v>
      </c>
      <c r="J120" s="33">
        <f t="shared" si="42"/>
        <v>3004.8</v>
      </c>
      <c r="K120" s="34">
        <f t="shared" si="43"/>
        <v>16.3</v>
      </c>
      <c r="L120" s="35">
        <f t="shared" si="43"/>
        <v>19591.296000000002</v>
      </c>
      <c r="M120" s="34">
        <f t="shared" si="44"/>
        <v>19.031843256359327</v>
      </c>
      <c r="N120" s="35">
        <f t="shared" si="45"/>
        <v>22874.753046683403</v>
      </c>
    </row>
    <row r="121" spans="1:14" ht="15" x14ac:dyDescent="0.2">
      <c r="A121" s="30"/>
      <c r="B121" s="31" t="s">
        <v>122</v>
      </c>
      <c r="C121" s="32">
        <f>C120</f>
        <v>1201.92</v>
      </c>
      <c r="D121" s="33" t="s">
        <v>5</v>
      </c>
      <c r="E121" s="34">
        <v>2.5</v>
      </c>
      <c r="F121" s="33">
        <f t="shared" si="40"/>
        <v>3004.8</v>
      </c>
      <c r="G121" s="34">
        <v>4</v>
      </c>
      <c r="H121" s="33">
        <f t="shared" si="41"/>
        <v>4807.68</v>
      </c>
      <c r="I121" s="34">
        <v>1.2</v>
      </c>
      <c r="J121" s="33">
        <f t="shared" si="42"/>
        <v>1442.3040000000001</v>
      </c>
      <c r="K121" s="34">
        <f t="shared" si="43"/>
        <v>7.7</v>
      </c>
      <c r="L121" s="35">
        <f t="shared" si="43"/>
        <v>9254.7839999999997</v>
      </c>
      <c r="M121" s="34">
        <f t="shared" si="44"/>
        <v>8.9905026425746506</v>
      </c>
      <c r="N121" s="35">
        <f t="shared" si="45"/>
        <v>10805.864936163325</v>
      </c>
    </row>
    <row r="122" spans="1:14" ht="15" x14ac:dyDescent="0.2">
      <c r="A122" s="30"/>
      <c r="B122" s="31" t="s">
        <v>123</v>
      </c>
      <c r="C122" s="32">
        <f>C120</f>
        <v>1201.92</v>
      </c>
      <c r="D122" s="33" t="s">
        <v>5</v>
      </c>
      <c r="E122" s="34">
        <v>1.8</v>
      </c>
      <c r="F122" s="33">
        <f t="shared" si="40"/>
        <v>2163.4560000000001</v>
      </c>
      <c r="G122" s="34">
        <v>2.4</v>
      </c>
      <c r="H122" s="33">
        <f t="shared" si="41"/>
        <v>2884.6080000000002</v>
      </c>
      <c r="I122" s="34">
        <v>1</v>
      </c>
      <c r="J122" s="33">
        <f t="shared" si="42"/>
        <v>1201.92</v>
      </c>
      <c r="K122" s="34">
        <f t="shared" si="43"/>
        <v>5.2</v>
      </c>
      <c r="L122" s="35">
        <f t="shared" si="43"/>
        <v>6249.9840000000004</v>
      </c>
      <c r="M122" s="34">
        <f t="shared" si="44"/>
        <v>6.0715082781023622</v>
      </c>
      <c r="N122" s="35">
        <f t="shared" si="45"/>
        <v>7297.4672296167919</v>
      </c>
    </row>
    <row r="123" spans="1:14" ht="15" x14ac:dyDescent="0.2">
      <c r="A123" s="30"/>
      <c r="B123" s="31" t="s">
        <v>124</v>
      </c>
      <c r="C123" s="32">
        <f>C120</f>
        <v>1201.92</v>
      </c>
      <c r="D123" s="33" t="s">
        <v>5</v>
      </c>
      <c r="E123" s="34">
        <v>2.1</v>
      </c>
      <c r="F123" s="33">
        <f t="shared" si="40"/>
        <v>2524.0320000000002</v>
      </c>
      <c r="G123" s="34">
        <v>3.9</v>
      </c>
      <c r="H123" s="33">
        <f t="shared" si="41"/>
        <v>4687.4880000000003</v>
      </c>
      <c r="I123" s="34">
        <v>2.2999999999999998</v>
      </c>
      <c r="J123" s="33">
        <f t="shared" si="42"/>
        <v>2764.4160000000002</v>
      </c>
      <c r="K123" s="34">
        <f t="shared" si="43"/>
        <v>8.3000000000000007</v>
      </c>
      <c r="L123" s="35">
        <f t="shared" si="43"/>
        <v>9975.9360000000015</v>
      </c>
      <c r="M123" s="34">
        <f t="shared" si="44"/>
        <v>9.6910612900480011</v>
      </c>
      <c r="N123" s="35">
        <f t="shared" si="45"/>
        <v>11647.880385734494</v>
      </c>
    </row>
    <row r="124" spans="1:14" ht="30" x14ac:dyDescent="0.2">
      <c r="A124" s="30"/>
      <c r="B124" s="31" t="s">
        <v>125</v>
      </c>
      <c r="C124" s="32">
        <v>1</v>
      </c>
      <c r="D124" s="33" t="s">
        <v>50</v>
      </c>
      <c r="E124" s="34">
        <v>0</v>
      </c>
      <c r="F124" s="33">
        <f t="shared" si="40"/>
        <v>0</v>
      </c>
      <c r="G124" s="34">
        <v>0</v>
      </c>
      <c r="H124" s="33">
        <f t="shared" si="41"/>
        <v>0</v>
      </c>
      <c r="I124" s="50">
        <v>3000</v>
      </c>
      <c r="J124" s="33">
        <f t="shared" si="42"/>
        <v>3000</v>
      </c>
      <c r="K124" s="34">
        <f t="shared" si="43"/>
        <v>3000</v>
      </c>
      <c r="L124" s="35">
        <f t="shared" si="43"/>
        <v>3000</v>
      </c>
      <c r="M124" s="34">
        <f t="shared" si="44"/>
        <v>3502.7932373667472</v>
      </c>
      <c r="N124" s="35">
        <f t="shared" si="45"/>
        <v>3502.7932373667472</v>
      </c>
    </row>
    <row r="125" spans="1:14" ht="30" x14ac:dyDescent="0.2">
      <c r="A125" s="30"/>
      <c r="B125" s="31" t="s">
        <v>126</v>
      </c>
      <c r="C125" s="32">
        <v>1</v>
      </c>
      <c r="D125" s="33" t="s">
        <v>50</v>
      </c>
      <c r="E125" s="50">
        <v>16000</v>
      </c>
      <c r="F125" s="33">
        <f t="shared" si="40"/>
        <v>16000</v>
      </c>
      <c r="G125" s="50">
        <v>24000</v>
      </c>
      <c r="H125" s="33">
        <f t="shared" si="41"/>
        <v>24000</v>
      </c>
      <c r="I125" s="50">
        <v>1500</v>
      </c>
      <c r="J125" s="33">
        <f t="shared" si="42"/>
        <v>1500</v>
      </c>
      <c r="K125" s="34">
        <f t="shared" si="43"/>
        <v>41500</v>
      </c>
      <c r="L125" s="35">
        <f t="shared" si="43"/>
        <v>41500</v>
      </c>
      <c r="M125" s="34">
        <f t="shared" si="44"/>
        <v>48455.306450240001</v>
      </c>
      <c r="N125" s="35">
        <f t="shared" si="45"/>
        <v>48455.306450240001</v>
      </c>
    </row>
    <row r="126" spans="1:14" ht="15" x14ac:dyDescent="0.2">
      <c r="A126" s="30"/>
      <c r="B126" s="31" t="s">
        <v>127</v>
      </c>
      <c r="C126" s="32">
        <v>1</v>
      </c>
      <c r="D126" s="33" t="s">
        <v>50</v>
      </c>
      <c r="E126" s="50">
        <v>17400</v>
      </c>
      <c r="F126" s="33">
        <f t="shared" si="40"/>
        <v>17400</v>
      </c>
      <c r="G126" s="50">
        <v>20000</v>
      </c>
      <c r="H126" s="33">
        <f t="shared" si="41"/>
        <v>20000</v>
      </c>
      <c r="I126" s="50">
        <v>70000</v>
      </c>
      <c r="J126" s="33">
        <f t="shared" si="42"/>
        <v>70000</v>
      </c>
      <c r="K126" s="34">
        <f t="shared" si="43"/>
        <v>107400</v>
      </c>
      <c r="L126" s="35">
        <f t="shared" si="43"/>
        <v>107400</v>
      </c>
      <c r="M126" s="34">
        <f t="shared" si="44"/>
        <v>125399.99789772955</v>
      </c>
      <c r="N126" s="35">
        <f t="shared" si="45"/>
        <v>125399.99789772955</v>
      </c>
    </row>
    <row r="127" spans="1:14" ht="15" x14ac:dyDescent="0.2">
      <c r="A127" s="30"/>
      <c r="B127" s="31" t="s">
        <v>128</v>
      </c>
      <c r="C127" s="32">
        <v>1</v>
      </c>
      <c r="D127" s="33" t="s">
        <v>50</v>
      </c>
      <c r="E127" s="50">
        <v>18000</v>
      </c>
      <c r="F127" s="33">
        <f t="shared" si="40"/>
        <v>18000</v>
      </c>
      <c r="G127" s="50">
        <v>20000</v>
      </c>
      <c r="H127" s="33">
        <f t="shared" si="41"/>
        <v>20000</v>
      </c>
      <c r="I127" s="50">
        <v>1500</v>
      </c>
      <c r="J127" s="33">
        <f t="shared" si="42"/>
        <v>1500</v>
      </c>
      <c r="K127" s="34">
        <f t="shared" si="43"/>
        <v>39500</v>
      </c>
      <c r="L127" s="35">
        <f t="shared" si="43"/>
        <v>39500</v>
      </c>
      <c r="M127" s="34">
        <f>K127*($I$138+1)</f>
        <v>46120.110958662168</v>
      </c>
      <c r="N127" s="35">
        <f t="shared" si="45"/>
        <v>46120.110958662168</v>
      </c>
    </row>
    <row r="128" spans="1:14" ht="41.25" customHeight="1" x14ac:dyDescent="0.2">
      <c r="A128" s="30"/>
      <c r="B128" s="31" t="s">
        <v>129</v>
      </c>
      <c r="C128" s="32">
        <v>1</v>
      </c>
      <c r="D128" s="33" t="s">
        <v>50</v>
      </c>
      <c r="E128" s="50">
        <v>4965</v>
      </c>
      <c r="F128" s="33">
        <f>C128*E128</f>
        <v>4965</v>
      </c>
      <c r="G128" s="50">
        <v>6000</v>
      </c>
      <c r="H128" s="33">
        <f>C128*G128</f>
        <v>6000</v>
      </c>
      <c r="I128" s="50">
        <v>1000</v>
      </c>
      <c r="J128" s="33">
        <f>C128*I128</f>
        <v>1000</v>
      </c>
      <c r="K128" s="34">
        <f>E128+G128+I128</f>
        <v>11965</v>
      </c>
      <c r="L128" s="35">
        <f>F128+H128+J128</f>
        <v>11965</v>
      </c>
      <c r="M128" s="34">
        <f t="shared" si="44"/>
        <v>13970.307028364377</v>
      </c>
      <c r="N128" s="35">
        <f>C128*M128</f>
        <v>13970.307028364377</v>
      </c>
    </row>
    <row r="129" spans="1:15" ht="30" x14ac:dyDescent="0.2">
      <c r="A129" s="30"/>
      <c r="B129" s="31" t="s">
        <v>130</v>
      </c>
      <c r="C129" s="32">
        <v>1</v>
      </c>
      <c r="D129" s="33" t="s">
        <v>50</v>
      </c>
      <c r="E129" s="34">
        <v>2400</v>
      </c>
      <c r="F129" s="33">
        <f t="shared" si="40"/>
        <v>2400</v>
      </c>
      <c r="G129" s="34">
        <v>2350</v>
      </c>
      <c r="H129" s="33">
        <f t="shared" si="41"/>
        <v>2350</v>
      </c>
      <c r="I129" s="34">
        <v>375</v>
      </c>
      <c r="J129" s="33">
        <f t="shared" si="42"/>
        <v>375</v>
      </c>
      <c r="K129" s="34">
        <f t="shared" si="43"/>
        <v>5125</v>
      </c>
      <c r="L129" s="35">
        <f t="shared" si="43"/>
        <v>5125</v>
      </c>
      <c r="M129" s="34">
        <f t="shared" si="44"/>
        <v>5983.9384471681933</v>
      </c>
      <c r="N129" s="35">
        <f t="shared" si="45"/>
        <v>5983.9384471681933</v>
      </c>
    </row>
    <row r="130" spans="1:15" ht="15" x14ac:dyDescent="0.2">
      <c r="A130" s="36"/>
      <c r="B130" s="37" t="s">
        <v>55</v>
      </c>
      <c r="C130" s="32"/>
      <c r="D130" s="33"/>
      <c r="E130" s="34"/>
      <c r="F130" s="38">
        <f>SUM(F117:F129)</f>
        <v>104271.61599999999</v>
      </c>
      <c r="G130" s="34"/>
      <c r="H130" s="38">
        <f>SUM(H117:H129)</f>
        <v>129548.694</v>
      </c>
      <c r="I130" s="34"/>
      <c r="J130" s="38">
        <f>SUM(J117:J129)</f>
        <v>97049.69</v>
      </c>
      <c r="K130" s="34"/>
      <c r="L130" s="39">
        <f>SUM(L117:L129)</f>
        <v>330870</v>
      </c>
      <c r="M130" s="34"/>
      <c r="N130" s="39">
        <f>SUM(N117:N129)</f>
        <v>386323.06614917854</v>
      </c>
    </row>
    <row r="131" spans="1:15" ht="15" x14ac:dyDescent="0.2">
      <c r="A131" s="40"/>
      <c r="B131" s="41"/>
      <c r="C131" s="42"/>
      <c r="D131" s="43"/>
      <c r="E131" s="44"/>
      <c r="F131" s="45"/>
      <c r="G131" s="44"/>
      <c r="H131" s="45"/>
      <c r="I131" s="44"/>
      <c r="J131" s="45"/>
      <c r="K131" s="44"/>
      <c r="L131" s="46"/>
      <c r="M131" s="44"/>
      <c r="N131" s="35"/>
    </row>
    <row r="132" spans="1:15" ht="15.75" thickBot="1" x14ac:dyDescent="0.25">
      <c r="A132" s="51"/>
      <c r="B132" s="52"/>
      <c r="C132" s="53"/>
      <c r="D132" s="54"/>
      <c r="E132" s="55"/>
      <c r="F132" s="56"/>
      <c r="G132" s="55"/>
      <c r="H132" s="56"/>
      <c r="I132" s="55"/>
      <c r="J132" s="56"/>
      <c r="K132" s="55"/>
      <c r="L132" s="57"/>
      <c r="M132" s="55"/>
      <c r="N132" s="57"/>
    </row>
    <row r="133" spans="1:15" ht="15.75" thickBot="1" x14ac:dyDescent="0.25">
      <c r="A133" s="58"/>
      <c r="B133" s="59"/>
      <c r="C133" s="60"/>
      <c r="D133" s="61"/>
      <c r="E133" s="259"/>
      <c r="F133" s="266">
        <f>F114+F107+F96+F82+F76+F67+F50+F40+F31+F130+F23</f>
        <v>379993.8249972483</v>
      </c>
      <c r="G133" s="259"/>
      <c r="H133" s="266">
        <f>H114+H107+H96+H82+H76+H67+H50+H40+H31+H130+H23</f>
        <v>394326.48003350495</v>
      </c>
      <c r="I133" s="259"/>
      <c r="J133" s="266">
        <f>J114+J107+J96+J82+J76+J67+J50+J40+J31+J130+J23</f>
        <v>179521.97232174466</v>
      </c>
      <c r="K133" s="259"/>
      <c r="L133" s="62"/>
      <c r="M133" s="259"/>
      <c r="N133" s="63"/>
    </row>
    <row r="134" spans="1:15" ht="15.75" thickBot="1" x14ac:dyDescent="0.25">
      <c r="A134" s="64"/>
      <c r="B134" s="65"/>
      <c r="C134" s="60"/>
      <c r="D134" s="66"/>
      <c r="E134" s="260"/>
      <c r="F134" s="267"/>
      <c r="G134" s="260"/>
      <c r="H134" s="267"/>
      <c r="I134" s="260"/>
      <c r="J134" s="267"/>
      <c r="K134" s="260"/>
      <c r="L134" s="67">
        <f>L114+L107+L96+L82+L76+L67+L50+L40+L31+L130+L23</f>
        <v>953842.27735249791</v>
      </c>
      <c r="M134" s="260"/>
      <c r="N134" s="67">
        <f>N114+N107+N96+N82+N76+N67+N50+N40+N31+N130+N23</f>
        <v>1113704.0928749423</v>
      </c>
    </row>
    <row r="135" spans="1:15" ht="15" x14ac:dyDescent="0.2">
      <c r="A135" s="64"/>
      <c r="B135" s="65"/>
      <c r="C135" s="60"/>
      <c r="D135" s="66"/>
      <c r="E135" s="66"/>
      <c r="F135" s="68"/>
      <c r="G135" s="66"/>
      <c r="H135" s="68"/>
      <c r="I135" s="66"/>
      <c r="J135" s="68"/>
      <c r="K135" s="66"/>
      <c r="L135" s="69">
        <f>L134*0.07</f>
        <v>66768.959414674857</v>
      </c>
      <c r="M135" s="66"/>
      <c r="N135" s="70">
        <f>N134*0.07</f>
        <v>77959.286501245966</v>
      </c>
    </row>
    <row r="136" spans="1:15" ht="15.75" thickBot="1" x14ac:dyDescent="0.25">
      <c r="A136" s="64"/>
      <c r="B136" s="65"/>
      <c r="C136" s="60"/>
      <c r="D136" s="66"/>
      <c r="E136" s="66"/>
      <c r="F136" s="66"/>
      <c r="G136" s="66"/>
      <c r="H136" s="66"/>
      <c r="I136" s="66"/>
      <c r="J136" s="66"/>
      <c r="K136" s="66"/>
      <c r="L136" s="71">
        <f>L134+L135</f>
        <v>1020611.2367671728</v>
      </c>
      <c r="M136" s="66"/>
      <c r="N136" s="72">
        <f>N134+N135</f>
        <v>1191663.3793761884</v>
      </c>
    </row>
    <row r="137" spans="1:15" ht="13.5" thickBot="1" x14ac:dyDescent="0.25">
      <c r="N137" s="73"/>
    </row>
    <row r="138" spans="1:15" x14ac:dyDescent="0.2">
      <c r="H138" s="74" t="s">
        <v>131</v>
      </c>
      <c r="I138" s="75">
        <f>L138/L134</f>
        <v>0.16759774578891576</v>
      </c>
      <c r="J138" s="76" t="s">
        <v>132</v>
      </c>
      <c r="K138" s="75"/>
      <c r="L138" s="77">
        <f>L145-L134</f>
        <v>159861.81552244443</v>
      </c>
      <c r="N138" s="78"/>
      <c r="O138" s="79"/>
    </row>
    <row r="139" spans="1:15" x14ac:dyDescent="0.2">
      <c r="J139" s="80" t="s">
        <v>133</v>
      </c>
      <c r="L139" s="81">
        <f>L138*0.3</f>
        <v>47958.544656733327</v>
      </c>
      <c r="N139" s="82"/>
      <c r="O139" s="73"/>
    </row>
    <row r="140" spans="1:15" x14ac:dyDescent="0.2">
      <c r="J140" s="80" t="s">
        <v>134</v>
      </c>
      <c r="L140" s="81">
        <f>L138*0.2</f>
        <v>31972.36310448889</v>
      </c>
      <c r="N140" s="82"/>
      <c r="O140" s="73"/>
    </row>
    <row r="141" spans="1:15" ht="13.5" thickBot="1" x14ac:dyDescent="0.25">
      <c r="J141" s="83" t="s">
        <v>135</v>
      </c>
      <c r="L141" s="84">
        <f>L138*0.5</f>
        <v>79930.907761222217</v>
      </c>
      <c r="N141" s="82"/>
      <c r="O141" s="73"/>
    </row>
    <row r="142" spans="1:15" ht="13.5" thickBot="1" x14ac:dyDescent="0.25">
      <c r="F142" s="48"/>
      <c r="H142" s="48"/>
      <c r="J142" s="48"/>
      <c r="N142" s="73"/>
      <c r="O142" s="73"/>
    </row>
    <row r="143" spans="1:15" ht="13.5" thickBot="1" x14ac:dyDescent="0.25">
      <c r="E143" s="261" t="s">
        <v>136</v>
      </c>
      <c r="F143" s="262"/>
      <c r="G143" s="262"/>
      <c r="H143" s="262"/>
      <c r="I143" s="262"/>
      <c r="J143" s="262"/>
      <c r="K143" s="262"/>
      <c r="L143" s="263"/>
      <c r="N143" s="73"/>
      <c r="O143" s="85"/>
    </row>
    <row r="144" spans="1:15" ht="15.75" thickBot="1" x14ac:dyDescent="0.25">
      <c r="E144" s="264">
        <v>0.18</v>
      </c>
      <c r="F144" s="266">
        <f>F133+E144*F133</f>
        <v>448392.71349675301</v>
      </c>
      <c r="G144" s="264">
        <v>0.15</v>
      </c>
      <c r="H144" s="266">
        <f>H133+G144*H133</f>
        <v>453475.45203853067</v>
      </c>
      <c r="I144" s="264">
        <v>0.18</v>
      </c>
      <c r="J144" s="266">
        <f>J133+I144*J133</f>
        <v>211835.92733965869</v>
      </c>
      <c r="K144" s="264">
        <v>0.18</v>
      </c>
      <c r="L144" s="62"/>
      <c r="N144" s="86"/>
      <c r="O144" s="249"/>
    </row>
    <row r="145" spans="1:15" ht="15.75" thickBot="1" x14ac:dyDescent="0.25">
      <c r="E145" s="265"/>
      <c r="F145" s="267"/>
      <c r="G145" s="265"/>
      <c r="H145" s="267"/>
      <c r="I145" s="265"/>
      <c r="J145" s="267"/>
      <c r="K145" s="265"/>
      <c r="L145" s="87">
        <f>F144+H144+J144</f>
        <v>1113704.0928749423</v>
      </c>
      <c r="N145" s="88"/>
      <c r="O145" s="249"/>
    </row>
    <row r="146" spans="1:15" ht="15" x14ac:dyDescent="0.2">
      <c r="E146" s="66"/>
      <c r="F146" s="68"/>
      <c r="G146" s="66"/>
      <c r="H146" s="68"/>
      <c r="I146" s="66"/>
      <c r="J146" s="68"/>
      <c r="K146" s="66"/>
      <c r="L146" s="69">
        <f>L145*0.07</f>
        <v>77959.286501245966</v>
      </c>
      <c r="M146" s="66"/>
      <c r="N146" s="88"/>
    </row>
    <row r="147" spans="1:15" ht="15.75" thickBot="1" x14ac:dyDescent="0.25">
      <c r="E147" s="66"/>
      <c r="F147" s="66"/>
      <c r="G147" s="66"/>
      <c r="H147" s="66"/>
      <c r="I147" s="66"/>
      <c r="J147" s="66"/>
      <c r="K147" s="66"/>
      <c r="L147" s="71">
        <f>L145+L146</f>
        <v>1191663.3793761884</v>
      </c>
      <c r="M147" s="66"/>
      <c r="N147" s="89"/>
    </row>
    <row r="148" spans="1:15" x14ac:dyDescent="0.2">
      <c r="N148" s="73"/>
    </row>
    <row r="149" spans="1:15" ht="13.5" thickBot="1" x14ac:dyDescent="0.25">
      <c r="L149" s="48"/>
      <c r="N149" s="82"/>
    </row>
    <row r="150" spans="1:15" ht="16.5" customHeight="1" thickBot="1" x14ac:dyDescent="0.25">
      <c r="A150" s="250" t="s">
        <v>137</v>
      </c>
      <c r="B150" s="251"/>
      <c r="C150" s="251"/>
      <c r="D150" s="251"/>
      <c r="E150" s="251"/>
      <c r="F150" s="252"/>
      <c r="N150" s="73"/>
    </row>
    <row r="151" spans="1:15" s="96" customFormat="1" ht="15" x14ac:dyDescent="0.2">
      <c r="A151" s="90"/>
      <c r="B151" s="91" t="s">
        <v>137</v>
      </c>
      <c r="C151" s="92" t="s">
        <v>38</v>
      </c>
      <c r="D151" s="93" t="s">
        <v>39</v>
      </c>
      <c r="E151" s="94" t="s">
        <v>138</v>
      </c>
      <c r="F151" s="93" t="s">
        <v>47</v>
      </c>
      <c r="G151" s="95"/>
      <c r="H151" s="95"/>
      <c r="I151" s="95"/>
      <c r="J151" s="95"/>
      <c r="K151" s="95"/>
      <c r="L151" s="95"/>
      <c r="M151" s="95"/>
      <c r="N151" s="95"/>
    </row>
    <row r="152" spans="1:15" ht="15" x14ac:dyDescent="0.2">
      <c r="A152" s="30">
        <v>1</v>
      </c>
      <c r="B152" s="31" t="s">
        <v>139</v>
      </c>
      <c r="C152" s="32"/>
      <c r="D152" s="33"/>
      <c r="E152" s="34"/>
      <c r="F152" s="33">
        <f t="shared" ref="F152:F188" si="46">C152*E152</f>
        <v>0</v>
      </c>
      <c r="G152" s="86"/>
      <c r="H152" s="86"/>
      <c r="I152" s="86"/>
      <c r="J152" s="86"/>
      <c r="K152" s="86"/>
      <c r="L152" s="86"/>
      <c r="M152" s="86"/>
      <c r="N152" s="86"/>
    </row>
    <row r="153" spans="1:15" ht="15" x14ac:dyDescent="0.2">
      <c r="A153" s="30">
        <v>2</v>
      </c>
      <c r="B153" s="31" t="s">
        <v>140</v>
      </c>
      <c r="C153" s="32"/>
      <c r="D153" s="33"/>
      <c r="E153" s="34"/>
      <c r="F153" s="33">
        <f t="shared" si="46"/>
        <v>0</v>
      </c>
      <c r="G153" s="86"/>
      <c r="H153" s="86"/>
      <c r="I153" s="86"/>
      <c r="J153" s="86"/>
      <c r="K153" s="86"/>
      <c r="L153" s="86"/>
      <c r="M153" s="86"/>
      <c r="N153" s="86"/>
    </row>
    <row r="154" spans="1:15" ht="15" x14ac:dyDescent="0.2">
      <c r="A154" s="30">
        <v>3</v>
      </c>
      <c r="B154" s="31" t="s">
        <v>141</v>
      </c>
      <c r="C154" s="32"/>
      <c r="D154" s="33"/>
      <c r="E154" s="34"/>
      <c r="F154" s="33">
        <f t="shared" si="46"/>
        <v>0</v>
      </c>
      <c r="G154" s="86"/>
      <c r="H154" s="86"/>
      <c r="I154" s="86"/>
      <c r="J154" s="86"/>
      <c r="K154" s="86"/>
      <c r="L154" s="86"/>
      <c r="M154" s="86"/>
      <c r="N154" s="86"/>
    </row>
    <row r="155" spans="1:15" ht="15" x14ac:dyDescent="0.2">
      <c r="A155" s="30">
        <v>4</v>
      </c>
      <c r="B155" s="31" t="s">
        <v>142</v>
      </c>
      <c r="C155" s="32"/>
      <c r="D155" s="33"/>
      <c r="E155" s="34"/>
      <c r="F155" s="33">
        <f t="shared" si="46"/>
        <v>0</v>
      </c>
      <c r="G155" s="86"/>
      <c r="H155" s="86"/>
      <c r="I155" s="86"/>
      <c r="J155" s="86"/>
      <c r="K155" s="86"/>
      <c r="L155" s="86"/>
      <c r="M155" s="86"/>
      <c r="N155" s="86"/>
    </row>
    <row r="156" spans="1:15" ht="15" x14ac:dyDescent="0.2">
      <c r="A156" s="30">
        <v>5</v>
      </c>
      <c r="B156" s="31" t="s">
        <v>143</v>
      </c>
      <c r="C156" s="32"/>
      <c r="D156" s="33"/>
      <c r="E156" s="34"/>
      <c r="F156" s="33">
        <f t="shared" si="46"/>
        <v>0</v>
      </c>
      <c r="G156" s="86"/>
      <c r="H156" s="86"/>
      <c r="I156" s="86"/>
      <c r="J156" s="86"/>
      <c r="K156" s="86"/>
      <c r="L156" s="86"/>
      <c r="M156" s="86"/>
      <c r="N156" s="86"/>
    </row>
    <row r="157" spans="1:15" ht="15" x14ac:dyDescent="0.2">
      <c r="A157" s="30">
        <v>6</v>
      </c>
      <c r="B157" s="31" t="s">
        <v>144</v>
      </c>
      <c r="C157" s="32"/>
      <c r="D157" s="33"/>
      <c r="E157" s="34"/>
      <c r="F157" s="33">
        <f t="shared" si="46"/>
        <v>0</v>
      </c>
      <c r="G157" s="86"/>
      <c r="H157" s="86"/>
      <c r="I157" s="86"/>
      <c r="J157" s="86"/>
      <c r="K157" s="86"/>
      <c r="L157" s="86"/>
      <c r="M157" s="86"/>
      <c r="N157" s="86"/>
    </row>
    <row r="158" spans="1:15" ht="15" x14ac:dyDescent="0.2">
      <c r="A158" s="30">
        <v>7</v>
      </c>
      <c r="B158" s="31" t="s">
        <v>145</v>
      </c>
      <c r="C158" s="32"/>
      <c r="D158" s="33"/>
      <c r="E158" s="34"/>
      <c r="F158" s="33">
        <f t="shared" si="46"/>
        <v>0</v>
      </c>
      <c r="G158" s="86"/>
      <c r="H158" s="86"/>
      <c r="I158" s="86"/>
      <c r="J158" s="86"/>
      <c r="K158" s="86"/>
      <c r="L158" s="86"/>
      <c r="M158" s="86"/>
      <c r="N158" s="86"/>
    </row>
    <row r="159" spans="1:15" ht="30" x14ac:dyDescent="0.2">
      <c r="A159" s="30">
        <v>8</v>
      </c>
      <c r="B159" s="31" t="s">
        <v>146</v>
      </c>
      <c r="C159" s="32"/>
      <c r="D159" s="33"/>
      <c r="E159" s="34"/>
      <c r="F159" s="33">
        <f t="shared" si="46"/>
        <v>0</v>
      </c>
      <c r="G159" s="86"/>
      <c r="H159" s="86"/>
      <c r="I159" s="86"/>
      <c r="J159" s="86"/>
      <c r="K159" s="86"/>
      <c r="L159" s="86"/>
      <c r="M159" s="86"/>
      <c r="N159" s="86"/>
    </row>
    <row r="160" spans="1:15" ht="15" x14ac:dyDescent="0.2">
      <c r="A160" s="30">
        <v>9</v>
      </c>
      <c r="B160" s="31" t="s">
        <v>147</v>
      </c>
      <c r="C160" s="32"/>
      <c r="D160" s="33"/>
      <c r="E160" s="34"/>
      <c r="F160" s="33">
        <f t="shared" si="46"/>
        <v>0</v>
      </c>
      <c r="G160" s="86"/>
      <c r="H160" s="86"/>
      <c r="I160" s="86"/>
      <c r="J160" s="86"/>
      <c r="K160" s="86"/>
      <c r="L160" s="86"/>
      <c r="M160" s="86"/>
      <c r="N160" s="86"/>
    </row>
    <row r="161" spans="1:14" ht="15" x14ac:dyDescent="0.2">
      <c r="A161" s="30">
        <v>10</v>
      </c>
      <c r="B161" s="31" t="s">
        <v>148</v>
      </c>
      <c r="C161" s="32"/>
      <c r="D161" s="33"/>
      <c r="E161" s="34"/>
      <c r="F161" s="33">
        <f>C161*E161</f>
        <v>0</v>
      </c>
      <c r="G161" s="86"/>
      <c r="H161" s="86"/>
      <c r="I161" s="86"/>
      <c r="J161" s="86"/>
      <c r="K161" s="86"/>
      <c r="L161" s="86"/>
      <c r="M161" s="86"/>
      <c r="N161" s="86"/>
    </row>
    <row r="162" spans="1:14" ht="15" x14ac:dyDescent="0.2">
      <c r="A162" s="30">
        <v>11</v>
      </c>
      <c r="B162" s="31" t="s">
        <v>149</v>
      </c>
      <c r="C162" s="32"/>
      <c r="D162" s="33"/>
      <c r="E162" s="34"/>
      <c r="F162" s="33">
        <f t="shared" si="46"/>
        <v>0</v>
      </c>
      <c r="G162" s="86"/>
      <c r="H162" s="86"/>
      <c r="I162" s="86"/>
      <c r="J162" s="86"/>
      <c r="K162" s="86"/>
      <c r="L162" s="86"/>
      <c r="M162" s="86"/>
      <c r="N162" s="86"/>
    </row>
    <row r="163" spans="1:14" ht="15" x14ac:dyDescent="0.2">
      <c r="A163" s="30">
        <v>12</v>
      </c>
      <c r="B163" s="31" t="s">
        <v>150</v>
      </c>
      <c r="C163" s="32"/>
      <c r="D163" s="33"/>
      <c r="E163" s="34"/>
      <c r="F163" s="33">
        <f t="shared" si="46"/>
        <v>0</v>
      </c>
      <c r="G163" s="86"/>
      <c r="H163" s="86"/>
      <c r="I163" s="86"/>
      <c r="J163" s="86"/>
      <c r="K163" s="86"/>
      <c r="L163" s="86"/>
      <c r="M163" s="86"/>
      <c r="N163" s="86"/>
    </row>
    <row r="164" spans="1:14" ht="15" x14ac:dyDescent="0.2">
      <c r="A164" s="30">
        <v>13</v>
      </c>
      <c r="B164" s="31" t="s">
        <v>151</v>
      </c>
      <c r="C164" s="32"/>
      <c r="D164" s="33"/>
      <c r="E164" s="34"/>
      <c r="F164" s="33">
        <f t="shared" si="46"/>
        <v>0</v>
      </c>
      <c r="G164" s="86"/>
      <c r="H164" s="86"/>
      <c r="I164" s="86"/>
      <c r="J164" s="86"/>
      <c r="K164" s="86"/>
      <c r="L164" s="86"/>
      <c r="M164" s="86"/>
      <c r="N164" s="86"/>
    </row>
    <row r="165" spans="1:14" ht="15" x14ac:dyDescent="0.2">
      <c r="A165" s="30">
        <v>14</v>
      </c>
      <c r="B165" s="31" t="s">
        <v>152</v>
      </c>
      <c r="C165" s="32"/>
      <c r="D165" s="33"/>
      <c r="E165" s="34"/>
      <c r="F165" s="33">
        <f t="shared" si="46"/>
        <v>0</v>
      </c>
      <c r="G165" s="86"/>
      <c r="H165" s="86"/>
      <c r="I165" s="86"/>
      <c r="J165" s="86"/>
      <c r="K165" s="86"/>
      <c r="L165" s="86"/>
      <c r="M165" s="86"/>
      <c r="N165" s="86"/>
    </row>
    <row r="166" spans="1:14" ht="15" x14ac:dyDescent="0.2">
      <c r="A166" s="30">
        <v>15</v>
      </c>
      <c r="B166" s="31" t="s">
        <v>153</v>
      </c>
      <c r="C166" s="32"/>
      <c r="D166" s="33"/>
      <c r="E166" s="34"/>
      <c r="F166" s="33">
        <f t="shared" si="46"/>
        <v>0</v>
      </c>
      <c r="G166" s="86"/>
      <c r="H166" s="86"/>
      <c r="I166" s="86"/>
      <c r="J166" s="86"/>
      <c r="K166" s="86"/>
      <c r="L166" s="86"/>
      <c r="M166" s="86"/>
      <c r="N166" s="86"/>
    </row>
    <row r="167" spans="1:14" ht="15" x14ac:dyDescent="0.2">
      <c r="A167" s="30">
        <v>16</v>
      </c>
      <c r="B167" s="31" t="s">
        <v>154</v>
      </c>
      <c r="C167" s="32"/>
      <c r="D167" s="33"/>
      <c r="E167" s="34"/>
      <c r="F167" s="33">
        <f t="shared" si="46"/>
        <v>0</v>
      </c>
      <c r="G167" s="86"/>
      <c r="H167" s="86"/>
      <c r="I167" s="86"/>
      <c r="J167" s="86"/>
      <c r="K167" s="86"/>
      <c r="L167" s="86"/>
      <c r="M167" s="86"/>
      <c r="N167" s="86"/>
    </row>
    <row r="168" spans="1:14" ht="15" x14ac:dyDescent="0.2">
      <c r="A168" s="30">
        <v>17</v>
      </c>
      <c r="B168" s="31" t="s">
        <v>155</v>
      </c>
      <c r="C168" s="32"/>
      <c r="D168" s="33"/>
      <c r="E168" s="34"/>
      <c r="F168" s="33">
        <f t="shared" si="46"/>
        <v>0</v>
      </c>
      <c r="G168" s="86"/>
      <c r="H168" s="86"/>
      <c r="I168" s="86"/>
      <c r="J168" s="86"/>
      <c r="K168" s="86"/>
      <c r="L168" s="86"/>
      <c r="M168" s="86"/>
      <c r="N168" s="86"/>
    </row>
    <row r="169" spans="1:14" ht="15" x14ac:dyDescent="0.2">
      <c r="A169" s="30">
        <v>18</v>
      </c>
      <c r="B169" s="31" t="s">
        <v>156</v>
      </c>
      <c r="C169" s="32"/>
      <c r="D169" s="33"/>
      <c r="E169" s="34"/>
      <c r="F169" s="33">
        <f t="shared" si="46"/>
        <v>0</v>
      </c>
      <c r="G169" s="86"/>
      <c r="H169" s="86"/>
      <c r="I169" s="86"/>
      <c r="J169" s="86"/>
      <c r="K169" s="86"/>
      <c r="L169" s="86"/>
      <c r="M169" s="86"/>
      <c r="N169" s="86"/>
    </row>
    <row r="170" spans="1:14" ht="15" x14ac:dyDescent="0.2">
      <c r="A170" s="30">
        <v>19</v>
      </c>
      <c r="B170" s="31" t="s">
        <v>157</v>
      </c>
      <c r="C170" s="32"/>
      <c r="D170" s="33"/>
      <c r="E170" s="34"/>
      <c r="F170" s="33">
        <f t="shared" si="46"/>
        <v>0</v>
      </c>
      <c r="G170" s="86"/>
      <c r="H170" s="86"/>
      <c r="I170" s="86"/>
      <c r="J170" s="86"/>
      <c r="K170" s="86"/>
      <c r="L170" s="86"/>
      <c r="M170" s="86"/>
      <c r="N170" s="86"/>
    </row>
    <row r="171" spans="1:14" ht="15" x14ac:dyDescent="0.2">
      <c r="A171" s="30">
        <v>20</v>
      </c>
      <c r="B171" s="31" t="s">
        <v>158</v>
      </c>
      <c r="C171" s="32"/>
      <c r="D171" s="33"/>
      <c r="E171" s="34"/>
      <c r="F171" s="33">
        <f t="shared" si="46"/>
        <v>0</v>
      </c>
      <c r="G171" s="86"/>
      <c r="H171" s="86"/>
      <c r="I171" s="86"/>
      <c r="J171" s="86"/>
      <c r="K171" s="86"/>
      <c r="L171" s="86"/>
      <c r="M171" s="86"/>
      <c r="N171" s="86"/>
    </row>
    <row r="172" spans="1:14" ht="15" x14ac:dyDescent="0.2">
      <c r="A172" s="30">
        <v>21</v>
      </c>
      <c r="B172" s="31" t="s">
        <v>159</v>
      </c>
      <c r="C172" s="32"/>
      <c r="D172" s="33"/>
      <c r="E172" s="34"/>
      <c r="F172" s="33">
        <f t="shared" si="46"/>
        <v>0</v>
      </c>
      <c r="G172" s="86"/>
      <c r="H172" s="86"/>
      <c r="I172" s="86"/>
      <c r="J172" s="86"/>
      <c r="K172" s="86"/>
      <c r="L172" s="86"/>
      <c r="M172" s="86"/>
      <c r="N172" s="86"/>
    </row>
    <row r="173" spans="1:14" ht="15" x14ac:dyDescent="0.2">
      <c r="A173" s="30">
        <v>22</v>
      </c>
      <c r="B173" s="31" t="s">
        <v>160</v>
      </c>
      <c r="C173" s="32"/>
      <c r="D173" s="33"/>
      <c r="E173" s="34"/>
      <c r="F173" s="33">
        <f t="shared" si="46"/>
        <v>0</v>
      </c>
      <c r="G173" s="86"/>
      <c r="H173" s="86"/>
      <c r="I173" s="86"/>
      <c r="J173" s="86"/>
      <c r="K173" s="86"/>
      <c r="L173" s="86"/>
      <c r="M173" s="86"/>
      <c r="N173" s="86"/>
    </row>
    <row r="174" spans="1:14" ht="15" x14ac:dyDescent="0.2">
      <c r="A174" s="30">
        <v>23</v>
      </c>
      <c r="B174" s="31" t="s">
        <v>161</v>
      </c>
      <c r="C174" s="32"/>
      <c r="D174" s="33"/>
      <c r="E174" s="34"/>
      <c r="F174" s="33">
        <f t="shared" si="46"/>
        <v>0</v>
      </c>
      <c r="G174" s="86"/>
      <c r="H174" s="86"/>
      <c r="I174" s="86"/>
      <c r="J174" s="86"/>
      <c r="K174" s="86"/>
      <c r="L174" s="86"/>
      <c r="M174" s="86"/>
      <c r="N174" s="86"/>
    </row>
    <row r="175" spans="1:14" ht="30" x14ac:dyDescent="0.2">
      <c r="A175" s="30">
        <v>24</v>
      </c>
      <c r="B175" s="31" t="s">
        <v>162</v>
      </c>
      <c r="C175" s="32"/>
      <c r="D175" s="33"/>
      <c r="E175" s="34"/>
      <c r="F175" s="33">
        <f t="shared" si="46"/>
        <v>0</v>
      </c>
      <c r="G175" s="86"/>
      <c r="H175" s="86"/>
      <c r="I175" s="86"/>
      <c r="J175" s="86"/>
      <c r="K175" s="86"/>
      <c r="L175" s="86"/>
      <c r="M175" s="86"/>
      <c r="N175" s="86"/>
    </row>
    <row r="176" spans="1:14" ht="15" x14ac:dyDescent="0.2">
      <c r="A176" s="30">
        <v>25</v>
      </c>
      <c r="B176" s="31" t="s">
        <v>163</v>
      </c>
      <c r="C176" s="32"/>
      <c r="D176" s="33"/>
      <c r="E176" s="34"/>
      <c r="F176" s="33">
        <f t="shared" si="46"/>
        <v>0</v>
      </c>
      <c r="G176" s="86"/>
      <c r="H176" s="86"/>
      <c r="I176" s="86"/>
      <c r="J176" s="86"/>
      <c r="K176" s="86"/>
      <c r="L176" s="86"/>
      <c r="M176" s="86"/>
      <c r="N176" s="86"/>
    </row>
    <row r="177" spans="1:14" ht="15" x14ac:dyDescent="0.2">
      <c r="A177" s="30">
        <v>26</v>
      </c>
      <c r="B177" s="31" t="s">
        <v>164</v>
      </c>
      <c r="C177" s="32"/>
      <c r="D177" s="33"/>
      <c r="E177" s="34"/>
      <c r="F177" s="33">
        <f t="shared" si="46"/>
        <v>0</v>
      </c>
      <c r="G177" s="86"/>
      <c r="H177" s="86"/>
      <c r="I177" s="86"/>
      <c r="J177" s="86"/>
      <c r="K177" s="86"/>
      <c r="L177" s="86"/>
      <c r="M177" s="86"/>
      <c r="N177" s="86"/>
    </row>
    <row r="178" spans="1:14" ht="15" x14ac:dyDescent="0.2">
      <c r="A178" s="30">
        <v>27</v>
      </c>
      <c r="B178" s="31" t="s">
        <v>165</v>
      </c>
      <c r="C178" s="32"/>
      <c r="D178" s="33"/>
      <c r="E178" s="34"/>
      <c r="F178" s="33">
        <f t="shared" si="46"/>
        <v>0</v>
      </c>
      <c r="G178" s="86"/>
      <c r="H178" s="86"/>
      <c r="I178" s="86"/>
      <c r="J178" s="86"/>
      <c r="K178" s="86"/>
      <c r="L178" s="86"/>
      <c r="M178" s="86"/>
      <c r="N178" s="86"/>
    </row>
    <row r="179" spans="1:14" ht="15" x14ac:dyDescent="0.2">
      <c r="A179" s="30">
        <v>28</v>
      </c>
      <c r="B179" s="31" t="s">
        <v>166</v>
      </c>
      <c r="C179" s="32"/>
      <c r="D179" s="33"/>
      <c r="E179" s="34"/>
      <c r="F179" s="33">
        <f t="shared" si="46"/>
        <v>0</v>
      </c>
      <c r="G179" s="86"/>
      <c r="H179" s="86"/>
      <c r="I179" s="86"/>
      <c r="J179" s="86"/>
      <c r="K179" s="86"/>
      <c r="L179" s="86"/>
      <c r="M179" s="86"/>
      <c r="N179" s="86"/>
    </row>
    <row r="180" spans="1:14" ht="15" x14ac:dyDescent="0.2">
      <c r="A180" s="30">
        <v>29</v>
      </c>
      <c r="B180" s="31" t="s">
        <v>167</v>
      </c>
      <c r="C180" s="32"/>
      <c r="D180" s="33"/>
      <c r="E180" s="34"/>
      <c r="F180" s="33">
        <f t="shared" si="46"/>
        <v>0</v>
      </c>
      <c r="G180" s="86"/>
      <c r="H180" s="86"/>
      <c r="I180" s="86"/>
      <c r="J180" s="86"/>
      <c r="K180" s="86"/>
      <c r="L180" s="86"/>
      <c r="M180" s="86"/>
      <c r="N180" s="86"/>
    </row>
    <row r="181" spans="1:14" ht="15" x14ac:dyDescent="0.2">
      <c r="A181" s="30">
        <v>30</v>
      </c>
      <c r="B181" s="31" t="s">
        <v>168</v>
      </c>
      <c r="C181" s="32"/>
      <c r="D181" s="33"/>
      <c r="E181" s="34"/>
      <c r="F181" s="33">
        <f t="shared" si="46"/>
        <v>0</v>
      </c>
      <c r="G181" s="86"/>
      <c r="H181" s="86"/>
      <c r="I181" s="86"/>
      <c r="J181" s="86"/>
      <c r="K181" s="86"/>
      <c r="L181" s="86"/>
      <c r="M181" s="86"/>
      <c r="N181" s="86"/>
    </row>
    <row r="182" spans="1:14" ht="15" x14ac:dyDescent="0.2">
      <c r="A182" s="30">
        <v>31</v>
      </c>
      <c r="B182" s="31" t="s">
        <v>169</v>
      </c>
      <c r="C182" s="32"/>
      <c r="D182" s="33"/>
      <c r="E182" s="34"/>
      <c r="F182" s="33">
        <f t="shared" si="46"/>
        <v>0</v>
      </c>
      <c r="G182" s="86"/>
      <c r="H182" s="86"/>
      <c r="I182" s="86"/>
      <c r="J182" s="86"/>
      <c r="K182" s="86"/>
      <c r="L182" s="86"/>
      <c r="M182" s="86"/>
      <c r="N182" s="86"/>
    </row>
    <row r="183" spans="1:14" ht="15" x14ac:dyDescent="0.2">
      <c r="A183" s="30">
        <v>32</v>
      </c>
      <c r="B183" s="31" t="s">
        <v>170</v>
      </c>
      <c r="C183" s="32"/>
      <c r="D183" s="33"/>
      <c r="E183" s="34"/>
      <c r="F183" s="33">
        <f t="shared" si="46"/>
        <v>0</v>
      </c>
      <c r="G183" s="86"/>
      <c r="H183" s="86"/>
      <c r="I183" s="86"/>
      <c r="J183" s="86"/>
      <c r="K183" s="86"/>
      <c r="L183" s="86"/>
      <c r="M183" s="86"/>
      <c r="N183" s="86"/>
    </row>
    <row r="184" spans="1:14" ht="30" x14ac:dyDescent="0.2">
      <c r="A184" s="30">
        <v>33</v>
      </c>
      <c r="B184" s="31" t="s">
        <v>171</v>
      </c>
      <c r="C184" s="32"/>
      <c r="D184" s="33"/>
      <c r="E184" s="34"/>
      <c r="F184" s="33">
        <f>C184*E184</f>
        <v>0</v>
      </c>
      <c r="G184" s="86"/>
      <c r="H184" s="86"/>
      <c r="I184" s="86"/>
      <c r="J184" s="86"/>
      <c r="K184" s="86"/>
      <c r="L184" s="86"/>
      <c r="M184" s="86"/>
      <c r="N184" s="86"/>
    </row>
    <row r="185" spans="1:14" ht="30" x14ac:dyDescent="0.2">
      <c r="A185" s="30">
        <v>34</v>
      </c>
      <c r="B185" s="31" t="s">
        <v>172</v>
      </c>
      <c r="C185" s="32"/>
      <c r="D185" s="33"/>
      <c r="E185" s="34"/>
      <c r="F185" s="33">
        <f>C185*E185</f>
        <v>0</v>
      </c>
      <c r="G185" s="86"/>
      <c r="H185" s="86"/>
      <c r="I185" s="86"/>
      <c r="J185" s="86"/>
      <c r="K185" s="86"/>
      <c r="L185" s="86"/>
      <c r="M185" s="86"/>
      <c r="N185" s="86"/>
    </row>
    <row r="186" spans="1:14" ht="30" x14ac:dyDescent="0.2">
      <c r="A186" s="30">
        <v>35</v>
      </c>
      <c r="B186" s="31" t="s">
        <v>173</v>
      </c>
      <c r="C186" s="32"/>
      <c r="D186" s="33"/>
      <c r="E186" s="34"/>
      <c r="F186" s="33">
        <f>C186*E186</f>
        <v>0</v>
      </c>
      <c r="G186" s="86"/>
      <c r="H186" s="86"/>
      <c r="I186" s="86"/>
      <c r="J186" s="86"/>
      <c r="K186" s="86"/>
      <c r="L186" s="86"/>
      <c r="M186" s="86"/>
      <c r="N186" s="86"/>
    </row>
    <row r="187" spans="1:14" ht="15" x14ac:dyDescent="0.2">
      <c r="A187" s="30">
        <v>36</v>
      </c>
      <c r="B187" s="31" t="s">
        <v>174</v>
      </c>
      <c r="C187" s="32"/>
      <c r="D187" s="33"/>
      <c r="E187" s="34"/>
      <c r="F187" s="33">
        <f t="shared" si="46"/>
        <v>0</v>
      </c>
      <c r="G187" s="86"/>
      <c r="H187" s="86"/>
      <c r="I187" s="86"/>
      <c r="J187" s="86"/>
      <c r="K187" s="86"/>
      <c r="L187" s="86"/>
      <c r="M187" s="86"/>
      <c r="N187" s="86"/>
    </row>
    <row r="188" spans="1:14" ht="15.75" thickBot="1" x14ac:dyDescent="0.25">
      <c r="A188" s="30">
        <v>37</v>
      </c>
      <c r="B188" s="31" t="s">
        <v>175</v>
      </c>
      <c r="C188" s="32"/>
      <c r="D188" s="33"/>
      <c r="E188" s="55"/>
      <c r="F188" s="54">
        <f t="shared" si="46"/>
        <v>0</v>
      </c>
      <c r="G188" s="86"/>
      <c r="H188" s="86"/>
      <c r="I188" s="86"/>
      <c r="J188" s="86"/>
      <c r="K188" s="86"/>
      <c r="L188" s="86"/>
      <c r="M188" s="86"/>
      <c r="N188" s="86"/>
    </row>
    <row r="189" spans="1:14" ht="15" x14ac:dyDescent="0.2">
      <c r="A189" s="253"/>
      <c r="B189" s="254"/>
      <c r="C189" s="254"/>
      <c r="D189" s="255"/>
      <c r="E189" s="97"/>
      <c r="F189" s="98">
        <f>SUM(F152:F188)</f>
        <v>0</v>
      </c>
      <c r="G189" s="86"/>
      <c r="H189" s="95"/>
      <c r="I189" s="86"/>
      <c r="J189" s="95"/>
      <c r="K189" s="86"/>
      <c r="L189" s="95"/>
      <c r="M189" s="86"/>
      <c r="N189" s="95"/>
    </row>
    <row r="190" spans="1:14" ht="15.75" thickBot="1" x14ac:dyDescent="0.25">
      <c r="A190" s="256"/>
      <c r="B190" s="257"/>
      <c r="C190" s="257"/>
      <c r="D190" s="258"/>
      <c r="E190" s="99"/>
      <c r="F190" s="100"/>
      <c r="G190" s="95"/>
      <c r="H190" s="86"/>
      <c r="I190" s="95"/>
      <c r="J190" s="86"/>
      <c r="K190" s="95"/>
      <c r="L190" s="86"/>
      <c r="M190" s="95"/>
      <c r="N190" s="86"/>
    </row>
  </sheetData>
  <mergeCells count="28">
    <mergeCell ref="A15:A16"/>
    <mergeCell ref="B15:B16"/>
    <mergeCell ref="C15:C16"/>
    <mergeCell ref="D15:D16"/>
    <mergeCell ref="E15:F15"/>
    <mergeCell ref="I15:J15"/>
    <mergeCell ref="K15:L15"/>
    <mergeCell ref="M15:N15"/>
    <mergeCell ref="E133:E134"/>
    <mergeCell ref="F133:F134"/>
    <mergeCell ref="G133:G134"/>
    <mergeCell ref="H133:H134"/>
    <mergeCell ref="I133:I134"/>
    <mergeCell ref="J133:J134"/>
    <mergeCell ref="K133:K134"/>
    <mergeCell ref="G15:H15"/>
    <mergeCell ref="O144:O145"/>
    <mergeCell ref="A150:F150"/>
    <mergeCell ref="A189:D190"/>
    <mergeCell ref="M133:M134"/>
    <mergeCell ref="E143:L143"/>
    <mergeCell ref="E144:E145"/>
    <mergeCell ref="F144:F145"/>
    <mergeCell ref="G144:G145"/>
    <mergeCell ref="H144:H145"/>
    <mergeCell ref="I144:I145"/>
    <mergeCell ref="J144:J145"/>
    <mergeCell ref="K144:K14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27199-F373-45C2-BE3B-4EADF4757D8E}">
  <sheetPr codeName="Sheet3"/>
  <dimension ref="A1:AH492"/>
  <sheetViews>
    <sheetView zoomScale="86" zoomScaleNormal="86" workbookViewId="0">
      <pane ySplit="3" topLeftCell="A4" activePane="bottomLeft" state="frozen"/>
      <selection activeCell="I49" sqref="I49"/>
      <selection pane="bottomLeft" activeCell="B53" sqref="B53"/>
    </sheetView>
  </sheetViews>
  <sheetFormatPr defaultColWidth="11.42578125" defaultRowHeight="12.75" x14ac:dyDescent="0.2"/>
  <cols>
    <col min="1" max="1" width="38.28515625" style="149" customWidth="1"/>
    <col min="2" max="2" width="10.85546875" style="111" bestFit="1" customWidth="1"/>
    <col min="3" max="4" width="9.42578125" style="7" bestFit="1" customWidth="1"/>
    <col min="5" max="6" width="8.42578125" style="7" bestFit="1" customWidth="1"/>
    <col min="7" max="7" width="16.42578125" style="7" bestFit="1" customWidth="1"/>
    <col min="8" max="8" width="15.42578125" style="7" bestFit="1" customWidth="1"/>
    <col min="9" max="9" width="14.42578125" style="7" bestFit="1" customWidth="1"/>
    <col min="10" max="10" width="10.7109375" style="7" bestFit="1" customWidth="1"/>
    <col min="11" max="11" width="10.28515625" style="7" bestFit="1" customWidth="1"/>
    <col min="12" max="12" width="10.5703125" style="7" bestFit="1" customWidth="1"/>
    <col min="13" max="16" width="12.7109375" style="7" customWidth="1"/>
    <col min="17" max="17" width="18.85546875" style="7" customWidth="1"/>
    <col min="18" max="256" width="11.42578125" style="7"/>
    <col min="257" max="257" width="38.28515625" style="7" customWidth="1"/>
    <col min="258" max="258" width="10.85546875" style="7" bestFit="1" customWidth="1"/>
    <col min="259" max="260" width="9.42578125" style="7" bestFit="1" customWidth="1"/>
    <col min="261" max="262" width="8.42578125" style="7" bestFit="1" customWidth="1"/>
    <col min="263" max="263" width="16.42578125" style="7" bestFit="1" customWidth="1"/>
    <col min="264" max="264" width="15.42578125" style="7" bestFit="1" customWidth="1"/>
    <col min="265" max="265" width="14.42578125" style="7" bestFit="1" customWidth="1"/>
    <col min="266" max="266" width="10.7109375" style="7" bestFit="1" customWidth="1"/>
    <col min="267" max="267" width="10.28515625" style="7" bestFit="1" customWidth="1"/>
    <col min="268" max="268" width="10.5703125" style="7" bestFit="1" customWidth="1"/>
    <col min="269" max="272" width="12.7109375" style="7" customWidth="1"/>
    <col min="273" max="273" width="18.85546875" style="7" customWidth="1"/>
    <col min="274" max="512" width="11.42578125" style="7"/>
    <col min="513" max="513" width="38.28515625" style="7" customWidth="1"/>
    <col min="514" max="514" width="10.85546875" style="7" bestFit="1" customWidth="1"/>
    <col min="515" max="516" width="9.42578125" style="7" bestFit="1" customWidth="1"/>
    <col min="517" max="518" width="8.42578125" style="7" bestFit="1" customWidth="1"/>
    <col min="519" max="519" width="16.42578125" style="7" bestFit="1" customWidth="1"/>
    <col min="520" max="520" width="15.42578125" style="7" bestFit="1" customWidth="1"/>
    <col min="521" max="521" width="14.42578125" style="7" bestFit="1" customWidth="1"/>
    <col min="522" max="522" width="10.7109375" style="7" bestFit="1" customWidth="1"/>
    <col min="523" max="523" width="10.28515625" style="7" bestFit="1" customWidth="1"/>
    <col min="524" max="524" width="10.5703125" style="7" bestFit="1" customWidth="1"/>
    <col min="525" max="528" width="12.7109375" style="7" customWidth="1"/>
    <col min="529" max="529" width="18.85546875" style="7" customWidth="1"/>
    <col min="530" max="768" width="11.42578125" style="7"/>
    <col min="769" max="769" width="38.28515625" style="7" customWidth="1"/>
    <col min="770" max="770" width="10.85546875" style="7" bestFit="1" customWidth="1"/>
    <col min="771" max="772" width="9.42578125" style="7" bestFit="1" customWidth="1"/>
    <col min="773" max="774" width="8.42578125" style="7" bestFit="1" customWidth="1"/>
    <col min="775" max="775" width="16.42578125" style="7" bestFit="1" customWidth="1"/>
    <col min="776" max="776" width="15.42578125" style="7" bestFit="1" customWidth="1"/>
    <col min="777" max="777" width="14.42578125" style="7" bestFit="1" customWidth="1"/>
    <col min="778" max="778" width="10.7109375" style="7" bestFit="1" customWidth="1"/>
    <col min="779" max="779" width="10.28515625" style="7" bestFit="1" customWidth="1"/>
    <col min="780" max="780" width="10.5703125" style="7" bestFit="1" customWidth="1"/>
    <col min="781" max="784" width="12.7109375" style="7" customWidth="1"/>
    <col min="785" max="785" width="18.85546875" style="7" customWidth="1"/>
    <col min="786" max="1024" width="11.42578125" style="7"/>
    <col min="1025" max="1025" width="38.28515625" style="7" customWidth="1"/>
    <col min="1026" max="1026" width="10.85546875" style="7" bestFit="1" customWidth="1"/>
    <col min="1027" max="1028" width="9.42578125" style="7" bestFit="1" customWidth="1"/>
    <col min="1029" max="1030" width="8.42578125" style="7" bestFit="1" customWidth="1"/>
    <col min="1031" max="1031" width="16.42578125" style="7" bestFit="1" customWidth="1"/>
    <col min="1032" max="1032" width="15.42578125" style="7" bestFit="1" customWidth="1"/>
    <col min="1033" max="1033" width="14.42578125" style="7" bestFit="1" customWidth="1"/>
    <col min="1034" max="1034" width="10.7109375" style="7" bestFit="1" customWidth="1"/>
    <col min="1035" max="1035" width="10.28515625" style="7" bestFit="1" customWidth="1"/>
    <col min="1036" max="1036" width="10.5703125" style="7" bestFit="1" customWidth="1"/>
    <col min="1037" max="1040" width="12.7109375" style="7" customWidth="1"/>
    <col min="1041" max="1041" width="18.85546875" style="7" customWidth="1"/>
    <col min="1042" max="1280" width="11.42578125" style="7"/>
    <col min="1281" max="1281" width="38.28515625" style="7" customWidth="1"/>
    <col min="1282" max="1282" width="10.85546875" style="7" bestFit="1" customWidth="1"/>
    <col min="1283" max="1284" width="9.42578125" style="7" bestFit="1" customWidth="1"/>
    <col min="1285" max="1286" width="8.42578125" style="7" bestFit="1" customWidth="1"/>
    <col min="1287" max="1287" width="16.42578125" style="7" bestFit="1" customWidth="1"/>
    <col min="1288" max="1288" width="15.42578125" style="7" bestFit="1" customWidth="1"/>
    <col min="1289" max="1289" width="14.42578125" style="7" bestFit="1" customWidth="1"/>
    <col min="1290" max="1290" width="10.7109375" style="7" bestFit="1" customWidth="1"/>
    <col min="1291" max="1291" width="10.28515625" style="7" bestFit="1" customWidth="1"/>
    <col min="1292" max="1292" width="10.5703125" style="7" bestFit="1" customWidth="1"/>
    <col min="1293" max="1296" width="12.7109375" style="7" customWidth="1"/>
    <col min="1297" max="1297" width="18.85546875" style="7" customWidth="1"/>
    <col min="1298" max="1536" width="11.42578125" style="7"/>
    <col min="1537" max="1537" width="38.28515625" style="7" customWidth="1"/>
    <col min="1538" max="1538" width="10.85546875" style="7" bestFit="1" customWidth="1"/>
    <col min="1539" max="1540" width="9.42578125" style="7" bestFit="1" customWidth="1"/>
    <col min="1541" max="1542" width="8.42578125" style="7" bestFit="1" customWidth="1"/>
    <col min="1543" max="1543" width="16.42578125" style="7" bestFit="1" customWidth="1"/>
    <col min="1544" max="1544" width="15.42578125" style="7" bestFit="1" customWidth="1"/>
    <col min="1545" max="1545" width="14.42578125" style="7" bestFit="1" customWidth="1"/>
    <col min="1546" max="1546" width="10.7109375" style="7" bestFit="1" customWidth="1"/>
    <col min="1547" max="1547" width="10.28515625" style="7" bestFit="1" customWidth="1"/>
    <col min="1548" max="1548" width="10.5703125" style="7" bestFit="1" customWidth="1"/>
    <col min="1549" max="1552" width="12.7109375" style="7" customWidth="1"/>
    <col min="1553" max="1553" width="18.85546875" style="7" customWidth="1"/>
    <col min="1554" max="1792" width="11.42578125" style="7"/>
    <col min="1793" max="1793" width="38.28515625" style="7" customWidth="1"/>
    <col min="1794" max="1794" width="10.85546875" style="7" bestFit="1" customWidth="1"/>
    <col min="1795" max="1796" width="9.42578125" style="7" bestFit="1" customWidth="1"/>
    <col min="1797" max="1798" width="8.42578125" style="7" bestFit="1" customWidth="1"/>
    <col min="1799" max="1799" width="16.42578125" style="7" bestFit="1" customWidth="1"/>
    <col min="1800" max="1800" width="15.42578125" style="7" bestFit="1" customWidth="1"/>
    <col min="1801" max="1801" width="14.42578125" style="7" bestFit="1" customWidth="1"/>
    <col min="1802" max="1802" width="10.7109375" style="7" bestFit="1" customWidth="1"/>
    <col min="1803" max="1803" width="10.28515625" style="7" bestFit="1" customWidth="1"/>
    <col min="1804" max="1804" width="10.5703125" style="7" bestFit="1" customWidth="1"/>
    <col min="1805" max="1808" width="12.7109375" style="7" customWidth="1"/>
    <col min="1809" max="1809" width="18.85546875" style="7" customWidth="1"/>
    <col min="1810" max="2048" width="11.42578125" style="7"/>
    <col min="2049" max="2049" width="38.28515625" style="7" customWidth="1"/>
    <col min="2050" max="2050" width="10.85546875" style="7" bestFit="1" customWidth="1"/>
    <col min="2051" max="2052" width="9.42578125" style="7" bestFit="1" customWidth="1"/>
    <col min="2053" max="2054" width="8.42578125" style="7" bestFit="1" customWidth="1"/>
    <col min="2055" max="2055" width="16.42578125" style="7" bestFit="1" customWidth="1"/>
    <col min="2056" max="2056" width="15.42578125" style="7" bestFit="1" customWidth="1"/>
    <col min="2057" max="2057" width="14.42578125" style="7" bestFit="1" customWidth="1"/>
    <col min="2058" max="2058" width="10.7109375" style="7" bestFit="1" customWidth="1"/>
    <col min="2059" max="2059" width="10.28515625" style="7" bestFit="1" customWidth="1"/>
    <col min="2060" max="2060" width="10.5703125" style="7" bestFit="1" customWidth="1"/>
    <col min="2061" max="2064" width="12.7109375" style="7" customWidth="1"/>
    <col min="2065" max="2065" width="18.85546875" style="7" customWidth="1"/>
    <col min="2066" max="2304" width="11.42578125" style="7"/>
    <col min="2305" max="2305" width="38.28515625" style="7" customWidth="1"/>
    <col min="2306" max="2306" width="10.85546875" style="7" bestFit="1" customWidth="1"/>
    <col min="2307" max="2308" width="9.42578125" style="7" bestFit="1" customWidth="1"/>
    <col min="2309" max="2310" width="8.42578125" style="7" bestFit="1" customWidth="1"/>
    <col min="2311" max="2311" width="16.42578125" style="7" bestFit="1" customWidth="1"/>
    <col min="2312" max="2312" width="15.42578125" style="7" bestFit="1" customWidth="1"/>
    <col min="2313" max="2313" width="14.42578125" style="7" bestFit="1" customWidth="1"/>
    <col min="2314" max="2314" width="10.7109375" style="7" bestFit="1" customWidth="1"/>
    <col min="2315" max="2315" width="10.28515625" style="7" bestFit="1" customWidth="1"/>
    <col min="2316" max="2316" width="10.5703125" style="7" bestFit="1" customWidth="1"/>
    <col min="2317" max="2320" width="12.7109375" style="7" customWidth="1"/>
    <col min="2321" max="2321" width="18.85546875" style="7" customWidth="1"/>
    <col min="2322" max="2560" width="11.42578125" style="7"/>
    <col min="2561" max="2561" width="38.28515625" style="7" customWidth="1"/>
    <col min="2562" max="2562" width="10.85546875" style="7" bestFit="1" customWidth="1"/>
    <col min="2563" max="2564" width="9.42578125" style="7" bestFit="1" customWidth="1"/>
    <col min="2565" max="2566" width="8.42578125" style="7" bestFit="1" customWidth="1"/>
    <col min="2567" max="2567" width="16.42578125" style="7" bestFit="1" customWidth="1"/>
    <col min="2568" max="2568" width="15.42578125" style="7" bestFit="1" customWidth="1"/>
    <col min="2569" max="2569" width="14.42578125" style="7" bestFit="1" customWidth="1"/>
    <col min="2570" max="2570" width="10.7109375" style="7" bestFit="1" customWidth="1"/>
    <col min="2571" max="2571" width="10.28515625" style="7" bestFit="1" customWidth="1"/>
    <col min="2572" max="2572" width="10.5703125" style="7" bestFit="1" customWidth="1"/>
    <col min="2573" max="2576" width="12.7109375" style="7" customWidth="1"/>
    <col min="2577" max="2577" width="18.85546875" style="7" customWidth="1"/>
    <col min="2578" max="2816" width="11.42578125" style="7"/>
    <col min="2817" max="2817" width="38.28515625" style="7" customWidth="1"/>
    <col min="2818" max="2818" width="10.85546875" style="7" bestFit="1" customWidth="1"/>
    <col min="2819" max="2820" width="9.42578125" style="7" bestFit="1" customWidth="1"/>
    <col min="2821" max="2822" width="8.42578125" style="7" bestFit="1" customWidth="1"/>
    <col min="2823" max="2823" width="16.42578125" style="7" bestFit="1" customWidth="1"/>
    <col min="2824" max="2824" width="15.42578125" style="7" bestFit="1" customWidth="1"/>
    <col min="2825" max="2825" width="14.42578125" style="7" bestFit="1" customWidth="1"/>
    <col min="2826" max="2826" width="10.7109375" style="7" bestFit="1" customWidth="1"/>
    <col min="2827" max="2827" width="10.28515625" style="7" bestFit="1" customWidth="1"/>
    <col min="2828" max="2828" width="10.5703125" style="7" bestFit="1" customWidth="1"/>
    <col min="2829" max="2832" width="12.7109375" style="7" customWidth="1"/>
    <col min="2833" max="2833" width="18.85546875" style="7" customWidth="1"/>
    <col min="2834" max="3072" width="11.42578125" style="7"/>
    <col min="3073" max="3073" width="38.28515625" style="7" customWidth="1"/>
    <col min="3074" max="3074" width="10.85546875" style="7" bestFit="1" customWidth="1"/>
    <col min="3075" max="3076" width="9.42578125" style="7" bestFit="1" customWidth="1"/>
    <col min="3077" max="3078" width="8.42578125" style="7" bestFit="1" customWidth="1"/>
    <col min="3079" max="3079" width="16.42578125" style="7" bestFit="1" customWidth="1"/>
    <col min="3080" max="3080" width="15.42578125" style="7" bestFit="1" customWidth="1"/>
    <col min="3081" max="3081" width="14.42578125" style="7" bestFit="1" customWidth="1"/>
    <col min="3082" max="3082" width="10.7109375" style="7" bestFit="1" customWidth="1"/>
    <col min="3083" max="3083" width="10.28515625" style="7" bestFit="1" customWidth="1"/>
    <col min="3084" max="3084" width="10.5703125" style="7" bestFit="1" customWidth="1"/>
    <col min="3085" max="3088" width="12.7109375" style="7" customWidth="1"/>
    <col min="3089" max="3089" width="18.85546875" style="7" customWidth="1"/>
    <col min="3090" max="3328" width="11.42578125" style="7"/>
    <col min="3329" max="3329" width="38.28515625" style="7" customWidth="1"/>
    <col min="3330" max="3330" width="10.85546875" style="7" bestFit="1" customWidth="1"/>
    <col min="3331" max="3332" width="9.42578125" style="7" bestFit="1" customWidth="1"/>
    <col min="3333" max="3334" width="8.42578125" style="7" bestFit="1" customWidth="1"/>
    <col min="3335" max="3335" width="16.42578125" style="7" bestFit="1" customWidth="1"/>
    <col min="3336" max="3336" width="15.42578125" style="7" bestFit="1" customWidth="1"/>
    <col min="3337" max="3337" width="14.42578125" style="7" bestFit="1" customWidth="1"/>
    <col min="3338" max="3338" width="10.7109375" style="7" bestFit="1" customWidth="1"/>
    <col min="3339" max="3339" width="10.28515625" style="7" bestFit="1" customWidth="1"/>
    <col min="3340" max="3340" width="10.5703125" style="7" bestFit="1" customWidth="1"/>
    <col min="3341" max="3344" width="12.7109375" style="7" customWidth="1"/>
    <col min="3345" max="3345" width="18.85546875" style="7" customWidth="1"/>
    <col min="3346" max="3584" width="11.42578125" style="7"/>
    <col min="3585" max="3585" width="38.28515625" style="7" customWidth="1"/>
    <col min="3586" max="3586" width="10.85546875" style="7" bestFit="1" customWidth="1"/>
    <col min="3587" max="3588" width="9.42578125" style="7" bestFit="1" customWidth="1"/>
    <col min="3589" max="3590" width="8.42578125" style="7" bestFit="1" customWidth="1"/>
    <col min="3591" max="3591" width="16.42578125" style="7" bestFit="1" customWidth="1"/>
    <col min="3592" max="3592" width="15.42578125" style="7" bestFit="1" customWidth="1"/>
    <col min="3593" max="3593" width="14.42578125" style="7" bestFit="1" customWidth="1"/>
    <col min="3594" max="3594" width="10.7109375" style="7" bestFit="1" customWidth="1"/>
    <col min="3595" max="3595" width="10.28515625" style="7" bestFit="1" customWidth="1"/>
    <col min="3596" max="3596" width="10.5703125" style="7" bestFit="1" customWidth="1"/>
    <col min="3597" max="3600" width="12.7109375" style="7" customWidth="1"/>
    <col min="3601" max="3601" width="18.85546875" style="7" customWidth="1"/>
    <col min="3602" max="3840" width="11.42578125" style="7"/>
    <col min="3841" max="3841" width="38.28515625" style="7" customWidth="1"/>
    <col min="3842" max="3842" width="10.85546875" style="7" bestFit="1" customWidth="1"/>
    <col min="3843" max="3844" width="9.42578125" style="7" bestFit="1" customWidth="1"/>
    <col min="3845" max="3846" width="8.42578125" style="7" bestFit="1" customWidth="1"/>
    <col min="3847" max="3847" width="16.42578125" style="7" bestFit="1" customWidth="1"/>
    <col min="3848" max="3848" width="15.42578125" style="7" bestFit="1" customWidth="1"/>
    <col min="3849" max="3849" width="14.42578125" style="7" bestFit="1" customWidth="1"/>
    <col min="3850" max="3850" width="10.7109375" style="7" bestFit="1" customWidth="1"/>
    <col min="3851" max="3851" width="10.28515625" style="7" bestFit="1" customWidth="1"/>
    <col min="3852" max="3852" width="10.5703125" style="7" bestFit="1" customWidth="1"/>
    <col min="3853" max="3856" width="12.7109375" style="7" customWidth="1"/>
    <col min="3857" max="3857" width="18.85546875" style="7" customWidth="1"/>
    <col min="3858" max="4096" width="11.42578125" style="7"/>
    <col min="4097" max="4097" width="38.28515625" style="7" customWidth="1"/>
    <col min="4098" max="4098" width="10.85546875" style="7" bestFit="1" customWidth="1"/>
    <col min="4099" max="4100" width="9.42578125" style="7" bestFit="1" customWidth="1"/>
    <col min="4101" max="4102" width="8.42578125" style="7" bestFit="1" customWidth="1"/>
    <col min="4103" max="4103" width="16.42578125" style="7" bestFit="1" customWidth="1"/>
    <col min="4104" max="4104" width="15.42578125" style="7" bestFit="1" customWidth="1"/>
    <col min="4105" max="4105" width="14.42578125" style="7" bestFit="1" customWidth="1"/>
    <col min="4106" max="4106" width="10.7109375" style="7" bestFit="1" customWidth="1"/>
    <col min="4107" max="4107" width="10.28515625" style="7" bestFit="1" customWidth="1"/>
    <col min="4108" max="4108" width="10.5703125" style="7" bestFit="1" customWidth="1"/>
    <col min="4109" max="4112" width="12.7109375" style="7" customWidth="1"/>
    <col min="4113" max="4113" width="18.85546875" style="7" customWidth="1"/>
    <col min="4114" max="4352" width="11.42578125" style="7"/>
    <col min="4353" max="4353" width="38.28515625" style="7" customWidth="1"/>
    <col min="4354" max="4354" width="10.85546875" style="7" bestFit="1" customWidth="1"/>
    <col min="4355" max="4356" width="9.42578125" style="7" bestFit="1" customWidth="1"/>
    <col min="4357" max="4358" width="8.42578125" style="7" bestFit="1" customWidth="1"/>
    <col min="4359" max="4359" width="16.42578125" style="7" bestFit="1" customWidth="1"/>
    <col min="4360" max="4360" width="15.42578125" style="7" bestFit="1" customWidth="1"/>
    <col min="4361" max="4361" width="14.42578125" style="7" bestFit="1" customWidth="1"/>
    <col min="4362" max="4362" width="10.7109375" style="7" bestFit="1" customWidth="1"/>
    <col min="4363" max="4363" width="10.28515625" style="7" bestFit="1" customWidth="1"/>
    <col min="4364" max="4364" width="10.5703125" style="7" bestFit="1" customWidth="1"/>
    <col min="4365" max="4368" width="12.7109375" style="7" customWidth="1"/>
    <col min="4369" max="4369" width="18.85546875" style="7" customWidth="1"/>
    <col min="4370" max="4608" width="11.42578125" style="7"/>
    <col min="4609" max="4609" width="38.28515625" style="7" customWidth="1"/>
    <col min="4610" max="4610" width="10.85546875" style="7" bestFit="1" customWidth="1"/>
    <col min="4611" max="4612" width="9.42578125" style="7" bestFit="1" customWidth="1"/>
    <col min="4613" max="4614" width="8.42578125" style="7" bestFit="1" customWidth="1"/>
    <col min="4615" max="4615" width="16.42578125" style="7" bestFit="1" customWidth="1"/>
    <col min="4616" max="4616" width="15.42578125" style="7" bestFit="1" customWidth="1"/>
    <col min="4617" max="4617" width="14.42578125" style="7" bestFit="1" customWidth="1"/>
    <col min="4618" max="4618" width="10.7109375" style="7" bestFit="1" customWidth="1"/>
    <col min="4619" max="4619" width="10.28515625" style="7" bestFit="1" customWidth="1"/>
    <col min="4620" max="4620" width="10.5703125" style="7" bestFit="1" customWidth="1"/>
    <col min="4621" max="4624" width="12.7109375" style="7" customWidth="1"/>
    <col min="4625" max="4625" width="18.85546875" style="7" customWidth="1"/>
    <col min="4626" max="4864" width="11.42578125" style="7"/>
    <col min="4865" max="4865" width="38.28515625" style="7" customWidth="1"/>
    <col min="4866" max="4866" width="10.85546875" style="7" bestFit="1" customWidth="1"/>
    <col min="4867" max="4868" width="9.42578125" style="7" bestFit="1" customWidth="1"/>
    <col min="4869" max="4870" width="8.42578125" style="7" bestFit="1" customWidth="1"/>
    <col min="4871" max="4871" width="16.42578125" style="7" bestFit="1" customWidth="1"/>
    <col min="4872" max="4872" width="15.42578125" style="7" bestFit="1" customWidth="1"/>
    <col min="4873" max="4873" width="14.42578125" style="7" bestFit="1" customWidth="1"/>
    <col min="4874" max="4874" width="10.7109375" style="7" bestFit="1" customWidth="1"/>
    <col min="4875" max="4875" width="10.28515625" style="7" bestFit="1" customWidth="1"/>
    <col min="4876" max="4876" width="10.5703125" style="7" bestFit="1" customWidth="1"/>
    <col min="4877" max="4880" width="12.7109375" style="7" customWidth="1"/>
    <col min="4881" max="4881" width="18.85546875" style="7" customWidth="1"/>
    <col min="4882" max="5120" width="11.42578125" style="7"/>
    <col min="5121" max="5121" width="38.28515625" style="7" customWidth="1"/>
    <col min="5122" max="5122" width="10.85546875" style="7" bestFit="1" customWidth="1"/>
    <col min="5123" max="5124" width="9.42578125" style="7" bestFit="1" customWidth="1"/>
    <col min="5125" max="5126" width="8.42578125" style="7" bestFit="1" customWidth="1"/>
    <col min="5127" max="5127" width="16.42578125" style="7" bestFit="1" customWidth="1"/>
    <col min="5128" max="5128" width="15.42578125" style="7" bestFit="1" customWidth="1"/>
    <col min="5129" max="5129" width="14.42578125" style="7" bestFit="1" customWidth="1"/>
    <col min="5130" max="5130" width="10.7109375" style="7" bestFit="1" customWidth="1"/>
    <col min="5131" max="5131" width="10.28515625" style="7" bestFit="1" customWidth="1"/>
    <col min="5132" max="5132" width="10.5703125" style="7" bestFit="1" customWidth="1"/>
    <col min="5133" max="5136" width="12.7109375" style="7" customWidth="1"/>
    <col min="5137" max="5137" width="18.85546875" style="7" customWidth="1"/>
    <col min="5138" max="5376" width="11.42578125" style="7"/>
    <col min="5377" max="5377" width="38.28515625" style="7" customWidth="1"/>
    <col min="5378" max="5378" width="10.85546875" style="7" bestFit="1" customWidth="1"/>
    <col min="5379" max="5380" width="9.42578125" style="7" bestFit="1" customWidth="1"/>
    <col min="5381" max="5382" width="8.42578125" style="7" bestFit="1" customWidth="1"/>
    <col min="5383" max="5383" width="16.42578125" style="7" bestFit="1" customWidth="1"/>
    <col min="5384" max="5384" width="15.42578125" style="7" bestFit="1" customWidth="1"/>
    <col min="5385" max="5385" width="14.42578125" style="7" bestFit="1" customWidth="1"/>
    <col min="5386" max="5386" width="10.7109375" style="7" bestFit="1" customWidth="1"/>
    <col min="5387" max="5387" width="10.28515625" style="7" bestFit="1" customWidth="1"/>
    <col min="5388" max="5388" width="10.5703125" style="7" bestFit="1" customWidth="1"/>
    <col min="5389" max="5392" width="12.7109375" style="7" customWidth="1"/>
    <col min="5393" max="5393" width="18.85546875" style="7" customWidth="1"/>
    <col min="5394" max="5632" width="11.42578125" style="7"/>
    <col min="5633" max="5633" width="38.28515625" style="7" customWidth="1"/>
    <col min="5634" max="5634" width="10.85546875" style="7" bestFit="1" customWidth="1"/>
    <col min="5635" max="5636" width="9.42578125" style="7" bestFit="1" customWidth="1"/>
    <col min="5637" max="5638" width="8.42578125" style="7" bestFit="1" customWidth="1"/>
    <col min="5639" max="5639" width="16.42578125" style="7" bestFit="1" customWidth="1"/>
    <col min="5640" max="5640" width="15.42578125" style="7" bestFit="1" customWidth="1"/>
    <col min="5641" max="5641" width="14.42578125" style="7" bestFit="1" customWidth="1"/>
    <col min="5642" max="5642" width="10.7109375" style="7" bestFit="1" customWidth="1"/>
    <col min="5643" max="5643" width="10.28515625" style="7" bestFit="1" customWidth="1"/>
    <col min="5644" max="5644" width="10.5703125" style="7" bestFit="1" customWidth="1"/>
    <col min="5645" max="5648" width="12.7109375" style="7" customWidth="1"/>
    <col min="5649" max="5649" width="18.85546875" style="7" customWidth="1"/>
    <col min="5650" max="5888" width="11.42578125" style="7"/>
    <col min="5889" max="5889" width="38.28515625" style="7" customWidth="1"/>
    <col min="5890" max="5890" width="10.85546875" style="7" bestFit="1" customWidth="1"/>
    <col min="5891" max="5892" width="9.42578125" style="7" bestFit="1" customWidth="1"/>
    <col min="5893" max="5894" width="8.42578125" style="7" bestFit="1" customWidth="1"/>
    <col min="5895" max="5895" width="16.42578125" style="7" bestFit="1" customWidth="1"/>
    <col min="5896" max="5896" width="15.42578125" style="7" bestFit="1" customWidth="1"/>
    <col min="5897" max="5897" width="14.42578125" style="7" bestFit="1" customWidth="1"/>
    <col min="5898" max="5898" width="10.7109375" style="7" bestFit="1" customWidth="1"/>
    <col min="5899" max="5899" width="10.28515625" style="7" bestFit="1" customWidth="1"/>
    <col min="5900" max="5900" width="10.5703125" style="7" bestFit="1" customWidth="1"/>
    <col min="5901" max="5904" width="12.7109375" style="7" customWidth="1"/>
    <col min="5905" max="5905" width="18.85546875" style="7" customWidth="1"/>
    <col min="5906" max="6144" width="11.42578125" style="7"/>
    <col min="6145" max="6145" width="38.28515625" style="7" customWidth="1"/>
    <col min="6146" max="6146" width="10.85546875" style="7" bestFit="1" customWidth="1"/>
    <col min="6147" max="6148" width="9.42578125" style="7" bestFit="1" customWidth="1"/>
    <col min="6149" max="6150" width="8.42578125" style="7" bestFit="1" customWidth="1"/>
    <col min="6151" max="6151" width="16.42578125" style="7" bestFit="1" customWidth="1"/>
    <col min="6152" max="6152" width="15.42578125" style="7" bestFit="1" customWidth="1"/>
    <col min="6153" max="6153" width="14.42578125" style="7" bestFit="1" customWidth="1"/>
    <col min="6154" max="6154" width="10.7109375" style="7" bestFit="1" customWidth="1"/>
    <col min="6155" max="6155" width="10.28515625" style="7" bestFit="1" customWidth="1"/>
    <col min="6156" max="6156" width="10.5703125" style="7" bestFit="1" customWidth="1"/>
    <col min="6157" max="6160" width="12.7109375" style="7" customWidth="1"/>
    <col min="6161" max="6161" width="18.85546875" style="7" customWidth="1"/>
    <col min="6162" max="6400" width="11.42578125" style="7"/>
    <col min="6401" max="6401" width="38.28515625" style="7" customWidth="1"/>
    <col min="6402" max="6402" width="10.85546875" style="7" bestFit="1" customWidth="1"/>
    <col min="6403" max="6404" width="9.42578125" style="7" bestFit="1" customWidth="1"/>
    <col min="6405" max="6406" width="8.42578125" style="7" bestFit="1" customWidth="1"/>
    <col min="6407" max="6407" width="16.42578125" style="7" bestFit="1" customWidth="1"/>
    <col min="6408" max="6408" width="15.42578125" style="7" bestFit="1" customWidth="1"/>
    <col min="6409" max="6409" width="14.42578125" style="7" bestFit="1" customWidth="1"/>
    <col min="6410" max="6410" width="10.7109375" style="7" bestFit="1" customWidth="1"/>
    <col min="6411" max="6411" width="10.28515625" style="7" bestFit="1" customWidth="1"/>
    <col min="6412" max="6412" width="10.5703125" style="7" bestFit="1" customWidth="1"/>
    <col min="6413" max="6416" width="12.7109375" style="7" customWidth="1"/>
    <col min="6417" max="6417" width="18.85546875" style="7" customWidth="1"/>
    <col min="6418" max="6656" width="11.42578125" style="7"/>
    <col min="6657" max="6657" width="38.28515625" style="7" customWidth="1"/>
    <col min="6658" max="6658" width="10.85546875" style="7" bestFit="1" customWidth="1"/>
    <col min="6659" max="6660" width="9.42578125" style="7" bestFit="1" customWidth="1"/>
    <col min="6661" max="6662" width="8.42578125" style="7" bestFit="1" customWidth="1"/>
    <col min="6663" max="6663" width="16.42578125" style="7" bestFit="1" customWidth="1"/>
    <col min="6664" max="6664" width="15.42578125" style="7" bestFit="1" customWidth="1"/>
    <col min="6665" max="6665" width="14.42578125" style="7" bestFit="1" customWidth="1"/>
    <col min="6666" max="6666" width="10.7109375" style="7" bestFit="1" customWidth="1"/>
    <col min="6667" max="6667" width="10.28515625" style="7" bestFit="1" customWidth="1"/>
    <col min="6668" max="6668" width="10.5703125" style="7" bestFit="1" customWidth="1"/>
    <col min="6669" max="6672" width="12.7109375" style="7" customWidth="1"/>
    <col min="6673" max="6673" width="18.85546875" style="7" customWidth="1"/>
    <col min="6674" max="6912" width="11.42578125" style="7"/>
    <col min="6913" max="6913" width="38.28515625" style="7" customWidth="1"/>
    <col min="6914" max="6914" width="10.85546875" style="7" bestFit="1" customWidth="1"/>
    <col min="6915" max="6916" width="9.42578125" style="7" bestFit="1" customWidth="1"/>
    <col min="6917" max="6918" width="8.42578125" style="7" bestFit="1" customWidth="1"/>
    <col min="6919" max="6919" width="16.42578125" style="7" bestFit="1" customWidth="1"/>
    <col min="6920" max="6920" width="15.42578125" style="7" bestFit="1" customWidth="1"/>
    <col min="6921" max="6921" width="14.42578125" style="7" bestFit="1" customWidth="1"/>
    <col min="6922" max="6922" width="10.7109375" style="7" bestFit="1" customWidth="1"/>
    <col min="6923" max="6923" width="10.28515625" style="7" bestFit="1" customWidth="1"/>
    <col min="6924" max="6924" width="10.5703125" style="7" bestFit="1" customWidth="1"/>
    <col min="6925" max="6928" width="12.7109375" style="7" customWidth="1"/>
    <col min="6929" max="6929" width="18.85546875" style="7" customWidth="1"/>
    <col min="6930" max="7168" width="11.42578125" style="7"/>
    <col min="7169" max="7169" width="38.28515625" style="7" customWidth="1"/>
    <col min="7170" max="7170" width="10.85546875" style="7" bestFit="1" customWidth="1"/>
    <col min="7171" max="7172" width="9.42578125" style="7" bestFit="1" customWidth="1"/>
    <col min="7173" max="7174" width="8.42578125" style="7" bestFit="1" customWidth="1"/>
    <col min="7175" max="7175" width="16.42578125" style="7" bestFit="1" customWidth="1"/>
    <col min="7176" max="7176" width="15.42578125" style="7" bestFit="1" customWidth="1"/>
    <col min="7177" max="7177" width="14.42578125" style="7" bestFit="1" customWidth="1"/>
    <col min="7178" max="7178" width="10.7109375" style="7" bestFit="1" customWidth="1"/>
    <col min="7179" max="7179" width="10.28515625" style="7" bestFit="1" customWidth="1"/>
    <col min="7180" max="7180" width="10.5703125" style="7" bestFit="1" customWidth="1"/>
    <col min="7181" max="7184" width="12.7109375" style="7" customWidth="1"/>
    <col min="7185" max="7185" width="18.85546875" style="7" customWidth="1"/>
    <col min="7186" max="7424" width="11.42578125" style="7"/>
    <col min="7425" max="7425" width="38.28515625" style="7" customWidth="1"/>
    <col min="7426" max="7426" width="10.85546875" style="7" bestFit="1" customWidth="1"/>
    <col min="7427" max="7428" width="9.42578125" style="7" bestFit="1" customWidth="1"/>
    <col min="7429" max="7430" width="8.42578125" style="7" bestFit="1" customWidth="1"/>
    <col min="7431" max="7431" width="16.42578125" style="7" bestFit="1" customWidth="1"/>
    <col min="7432" max="7432" width="15.42578125" style="7" bestFit="1" customWidth="1"/>
    <col min="7433" max="7433" width="14.42578125" style="7" bestFit="1" customWidth="1"/>
    <col min="7434" max="7434" width="10.7109375" style="7" bestFit="1" customWidth="1"/>
    <col min="7435" max="7435" width="10.28515625" style="7" bestFit="1" customWidth="1"/>
    <col min="7436" max="7436" width="10.5703125" style="7" bestFit="1" customWidth="1"/>
    <col min="7437" max="7440" width="12.7109375" style="7" customWidth="1"/>
    <col min="7441" max="7441" width="18.85546875" style="7" customWidth="1"/>
    <col min="7442" max="7680" width="11.42578125" style="7"/>
    <col min="7681" max="7681" width="38.28515625" style="7" customWidth="1"/>
    <col min="7682" max="7682" width="10.85546875" style="7" bestFit="1" customWidth="1"/>
    <col min="7683" max="7684" width="9.42578125" style="7" bestFit="1" customWidth="1"/>
    <col min="7685" max="7686" width="8.42578125" style="7" bestFit="1" customWidth="1"/>
    <col min="7687" max="7687" width="16.42578125" style="7" bestFit="1" customWidth="1"/>
    <col min="7688" max="7688" width="15.42578125" style="7" bestFit="1" customWidth="1"/>
    <col min="7689" max="7689" width="14.42578125" style="7" bestFit="1" customWidth="1"/>
    <col min="7690" max="7690" width="10.7109375" style="7" bestFit="1" customWidth="1"/>
    <col min="7691" max="7691" width="10.28515625" style="7" bestFit="1" customWidth="1"/>
    <col min="7692" max="7692" width="10.5703125" style="7" bestFit="1" customWidth="1"/>
    <col min="7693" max="7696" width="12.7109375" style="7" customWidth="1"/>
    <col min="7697" max="7697" width="18.85546875" style="7" customWidth="1"/>
    <col min="7698" max="7936" width="11.42578125" style="7"/>
    <col min="7937" max="7937" width="38.28515625" style="7" customWidth="1"/>
    <col min="7938" max="7938" width="10.85546875" style="7" bestFit="1" customWidth="1"/>
    <col min="7939" max="7940" width="9.42578125" style="7" bestFit="1" customWidth="1"/>
    <col min="7941" max="7942" width="8.42578125" style="7" bestFit="1" customWidth="1"/>
    <col min="7943" max="7943" width="16.42578125" style="7" bestFit="1" customWidth="1"/>
    <col min="7944" max="7944" width="15.42578125" style="7" bestFit="1" customWidth="1"/>
    <col min="7945" max="7945" width="14.42578125" style="7" bestFit="1" customWidth="1"/>
    <col min="7946" max="7946" width="10.7109375" style="7" bestFit="1" customWidth="1"/>
    <col min="7947" max="7947" width="10.28515625" style="7" bestFit="1" customWidth="1"/>
    <col min="7948" max="7948" width="10.5703125" style="7" bestFit="1" customWidth="1"/>
    <col min="7949" max="7952" width="12.7109375" style="7" customWidth="1"/>
    <col min="7953" max="7953" width="18.85546875" style="7" customWidth="1"/>
    <col min="7954" max="8192" width="11.42578125" style="7"/>
    <col min="8193" max="8193" width="38.28515625" style="7" customWidth="1"/>
    <col min="8194" max="8194" width="10.85546875" style="7" bestFit="1" customWidth="1"/>
    <col min="8195" max="8196" width="9.42578125" style="7" bestFit="1" customWidth="1"/>
    <col min="8197" max="8198" width="8.42578125" style="7" bestFit="1" customWidth="1"/>
    <col min="8199" max="8199" width="16.42578125" style="7" bestFit="1" customWidth="1"/>
    <col min="8200" max="8200" width="15.42578125" style="7" bestFit="1" customWidth="1"/>
    <col min="8201" max="8201" width="14.42578125" style="7" bestFit="1" customWidth="1"/>
    <col min="8202" max="8202" width="10.7109375" style="7" bestFit="1" customWidth="1"/>
    <col min="8203" max="8203" width="10.28515625" style="7" bestFit="1" customWidth="1"/>
    <col min="8204" max="8204" width="10.5703125" style="7" bestFit="1" customWidth="1"/>
    <col min="8205" max="8208" width="12.7109375" style="7" customWidth="1"/>
    <col min="8209" max="8209" width="18.85546875" style="7" customWidth="1"/>
    <col min="8210" max="8448" width="11.42578125" style="7"/>
    <col min="8449" max="8449" width="38.28515625" style="7" customWidth="1"/>
    <col min="8450" max="8450" width="10.85546875" style="7" bestFit="1" customWidth="1"/>
    <col min="8451" max="8452" width="9.42578125" style="7" bestFit="1" customWidth="1"/>
    <col min="8453" max="8454" width="8.42578125" style="7" bestFit="1" customWidth="1"/>
    <col min="8455" max="8455" width="16.42578125" style="7" bestFit="1" customWidth="1"/>
    <col min="8456" max="8456" width="15.42578125" style="7" bestFit="1" customWidth="1"/>
    <col min="8457" max="8457" width="14.42578125" style="7" bestFit="1" customWidth="1"/>
    <col min="8458" max="8458" width="10.7109375" style="7" bestFit="1" customWidth="1"/>
    <col min="8459" max="8459" width="10.28515625" style="7" bestFit="1" customWidth="1"/>
    <col min="8460" max="8460" width="10.5703125" style="7" bestFit="1" customWidth="1"/>
    <col min="8461" max="8464" width="12.7109375" style="7" customWidth="1"/>
    <col min="8465" max="8465" width="18.85546875" style="7" customWidth="1"/>
    <col min="8466" max="8704" width="11.42578125" style="7"/>
    <col min="8705" max="8705" width="38.28515625" style="7" customWidth="1"/>
    <col min="8706" max="8706" width="10.85546875" style="7" bestFit="1" customWidth="1"/>
    <col min="8707" max="8708" width="9.42578125" style="7" bestFit="1" customWidth="1"/>
    <col min="8709" max="8710" width="8.42578125" style="7" bestFit="1" customWidth="1"/>
    <col min="8711" max="8711" width="16.42578125" style="7" bestFit="1" customWidth="1"/>
    <col min="8712" max="8712" width="15.42578125" style="7" bestFit="1" customWidth="1"/>
    <col min="8713" max="8713" width="14.42578125" style="7" bestFit="1" customWidth="1"/>
    <col min="8714" max="8714" width="10.7109375" style="7" bestFit="1" customWidth="1"/>
    <col min="8715" max="8715" width="10.28515625" style="7" bestFit="1" customWidth="1"/>
    <col min="8716" max="8716" width="10.5703125" style="7" bestFit="1" customWidth="1"/>
    <col min="8717" max="8720" width="12.7109375" style="7" customWidth="1"/>
    <col min="8721" max="8721" width="18.85546875" style="7" customWidth="1"/>
    <col min="8722" max="8960" width="11.42578125" style="7"/>
    <col min="8961" max="8961" width="38.28515625" style="7" customWidth="1"/>
    <col min="8962" max="8962" width="10.85546875" style="7" bestFit="1" customWidth="1"/>
    <col min="8963" max="8964" width="9.42578125" style="7" bestFit="1" customWidth="1"/>
    <col min="8965" max="8966" width="8.42578125" style="7" bestFit="1" customWidth="1"/>
    <col min="8967" max="8967" width="16.42578125" style="7" bestFit="1" customWidth="1"/>
    <col min="8968" max="8968" width="15.42578125" style="7" bestFit="1" customWidth="1"/>
    <col min="8969" max="8969" width="14.42578125" style="7" bestFit="1" customWidth="1"/>
    <col min="8970" max="8970" width="10.7109375" style="7" bestFit="1" customWidth="1"/>
    <col min="8971" max="8971" width="10.28515625" style="7" bestFit="1" customWidth="1"/>
    <col min="8972" max="8972" width="10.5703125" style="7" bestFit="1" customWidth="1"/>
    <col min="8973" max="8976" width="12.7109375" style="7" customWidth="1"/>
    <col min="8977" max="8977" width="18.85546875" style="7" customWidth="1"/>
    <col min="8978" max="9216" width="11.42578125" style="7"/>
    <col min="9217" max="9217" width="38.28515625" style="7" customWidth="1"/>
    <col min="9218" max="9218" width="10.85546875" style="7" bestFit="1" customWidth="1"/>
    <col min="9219" max="9220" width="9.42578125" style="7" bestFit="1" customWidth="1"/>
    <col min="9221" max="9222" width="8.42578125" style="7" bestFit="1" customWidth="1"/>
    <col min="9223" max="9223" width="16.42578125" style="7" bestFit="1" customWidth="1"/>
    <col min="9224" max="9224" width="15.42578125" style="7" bestFit="1" customWidth="1"/>
    <col min="9225" max="9225" width="14.42578125" style="7" bestFit="1" customWidth="1"/>
    <col min="9226" max="9226" width="10.7109375" style="7" bestFit="1" customWidth="1"/>
    <col min="9227" max="9227" width="10.28515625" style="7" bestFit="1" customWidth="1"/>
    <col min="9228" max="9228" width="10.5703125" style="7" bestFit="1" customWidth="1"/>
    <col min="9229" max="9232" width="12.7109375" style="7" customWidth="1"/>
    <col min="9233" max="9233" width="18.85546875" style="7" customWidth="1"/>
    <col min="9234" max="9472" width="11.42578125" style="7"/>
    <col min="9473" max="9473" width="38.28515625" style="7" customWidth="1"/>
    <col min="9474" max="9474" width="10.85546875" style="7" bestFit="1" customWidth="1"/>
    <col min="9475" max="9476" width="9.42578125" style="7" bestFit="1" customWidth="1"/>
    <col min="9477" max="9478" width="8.42578125" style="7" bestFit="1" customWidth="1"/>
    <col min="9479" max="9479" width="16.42578125" style="7" bestFit="1" customWidth="1"/>
    <col min="9480" max="9480" width="15.42578125" style="7" bestFit="1" customWidth="1"/>
    <col min="9481" max="9481" width="14.42578125" style="7" bestFit="1" customWidth="1"/>
    <col min="9482" max="9482" width="10.7109375" style="7" bestFit="1" customWidth="1"/>
    <col min="9483" max="9483" width="10.28515625" style="7" bestFit="1" customWidth="1"/>
    <col min="9484" max="9484" width="10.5703125" style="7" bestFit="1" customWidth="1"/>
    <col min="9485" max="9488" width="12.7109375" style="7" customWidth="1"/>
    <col min="9489" max="9489" width="18.85546875" style="7" customWidth="1"/>
    <col min="9490" max="9728" width="11.42578125" style="7"/>
    <col min="9729" max="9729" width="38.28515625" style="7" customWidth="1"/>
    <col min="9730" max="9730" width="10.85546875" style="7" bestFit="1" customWidth="1"/>
    <col min="9731" max="9732" width="9.42578125" style="7" bestFit="1" customWidth="1"/>
    <col min="9733" max="9734" width="8.42578125" style="7" bestFit="1" customWidth="1"/>
    <col min="9735" max="9735" width="16.42578125" style="7" bestFit="1" customWidth="1"/>
    <col min="9736" max="9736" width="15.42578125" style="7" bestFit="1" customWidth="1"/>
    <col min="9737" max="9737" width="14.42578125" style="7" bestFit="1" customWidth="1"/>
    <col min="9738" max="9738" width="10.7109375" style="7" bestFit="1" customWidth="1"/>
    <col min="9739" max="9739" width="10.28515625" style="7" bestFit="1" customWidth="1"/>
    <col min="9740" max="9740" width="10.5703125" style="7" bestFit="1" customWidth="1"/>
    <col min="9741" max="9744" width="12.7109375" style="7" customWidth="1"/>
    <col min="9745" max="9745" width="18.85546875" style="7" customWidth="1"/>
    <col min="9746" max="9984" width="11.42578125" style="7"/>
    <col min="9985" max="9985" width="38.28515625" style="7" customWidth="1"/>
    <col min="9986" max="9986" width="10.85546875" style="7" bestFit="1" customWidth="1"/>
    <col min="9987" max="9988" width="9.42578125" style="7" bestFit="1" customWidth="1"/>
    <col min="9989" max="9990" width="8.42578125" style="7" bestFit="1" customWidth="1"/>
    <col min="9991" max="9991" width="16.42578125" style="7" bestFit="1" customWidth="1"/>
    <col min="9992" max="9992" width="15.42578125" style="7" bestFit="1" customWidth="1"/>
    <col min="9993" max="9993" width="14.42578125" style="7" bestFit="1" customWidth="1"/>
    <col min="9994" max="9994" width="10.7109375" style="7" bestFit="1" customWidth="1"/>
    <col min="9995" max="9995" width="10.28515625" style="7" bestFit="1" customWidth="1"/>
    <col min="9996" max="9996" width="10.5703125" style="7" bestFit="1" customWidth="1"/>
    <col min="9997" max="10000" width="12.7109375" style="7" customWidth="1"/>
    <col min="10001" max="10001" width="18.85546875" style="7" customWidth="1"/>
    <col min="10002" max="10240" width="11.42578125" style="7"/>
    <col min="10241" max="10241" width="38.28515625" style="7" customWidth="1"/>
    <col min="10242" max="10242" width="10.85546875" style="7" bestFit="1" customWidth="1"/>
    <col min="10243" max="10244" width="9.42578125" style="7" bestFit="1" customWidth="1"/>
    <col min="10245" max="10246" width="8.42578125" style="7" bestFit="1" customWidth="1"/>
    <col min="10247" max="10247" width="16.42578125" style="7" bestFit="1" customWidth="1"/>
    <col min="10248" max="10248" width="15.42578125" style="7" bestFit="1" customWidth="1"/>
    <col min="10249" max="10249" width="14.42578125" style="7" bestFit="1" customWidth="1"/>
    <col min="10250" max="10250" width="10.7109375" style="7" bestFit="1" customWidth="1"/>
    <col min="10251" max="10251" width="10.28515625" style="7" bestFit="1" customWidth="1"/>
    <col min="10252" max="10252" width="10.5703125" style="7" bestFit="1" customWidth="1"/>
    <col min="10253" max="10256" width="12.7109375" style="7" customWidth="1"/>
    <col min="10257" max="10257" width="18.85546875" style="7" customWidth="1"/>
    <col min="10258" max="10496" width="11.42578125" style="7"/>
    <col min="10497" max="10497" width="38.28515625" style="7" customWidth="1"/>
    <col min="10498" max="10498" width="10.85546875" style="7" bestFit="1" customWidth="1"/>
    <col min="10499" max="10500" width="9.42578125" style="7" bestFit="1" customWidth="1"/>
    <col min="10501" max="10502" width="8.42578125" style="7" bestFit="1" customWidth="1"/>
    <col min="10503" max="10503" width="16.42578125" style="7" bestFit="1" customWidth="1"/>
    <col min="10504" max="10504" width="15.42578125" style="7" bestFit="1" customWidth="1"/>
    <col min="10505" max="10505" width="14.42578125" style="7" bestFit="1" customWidth="1"/>
    <col min="10506" max="10506" width="10.7109375" style="7" bestFit="1" customWidth="1"/>
    <col min="10507" max="10507" width="10.28515625" style="7" bestFit="1" customWidth="1"/>
    <col min="10508" max="10508" width="10.5703125" style="7" bestFit="1" customWidth="1"/>
    <col min="10509" max="10512" width="12.7109375" style="7" customWidth="1"/>
    <col min="10513" max="10513" width="18.85546875" style="7" customWidth="1"/>
    <col min="10514" max="10752" width="11.42578125" style="7"/>
    <col min="10753" max="10753" width="38.28515625" style="7" customWidth="1"/>
    <col min="10754" max="10754" width="10.85546875" style="7" bestFit="1" customWidth="1"/>
    <col min="10755" max="10756" width="9.42578125" style="7" bestFit="1" customWidth="1"/>
    <col min="10757" max="10758" width="8.42578125" style="7" bestFit="1" customWidth="1"/>
    <col min="10759" max="10759" width="16.42578125" style="7" bestFit="1" customWidth="1"/>
    <col min="10760" max="10760" width="15.42578125" style="7" bestFit="1" customWidth="1"/>
    <col min="10761" max="10761" width="14.42578125" style="7" bestFit="1" customWidth="1"/>
    <col min="10762" max="10762" width="10.7109375" style="7" bestFit="1" customWidth="1"/>
    <col min="10763" max="10763" width="10.28515625" style="7" bestFit="1" customWidth="1"/>
    <col min="10764" max="10764" width="10.5703125" style="7" bestFit="1" customWidth="1"/>
    <col min="10765" max="10768" width="12.7109375" style="7" customWidth="1"/>
    <col min="10769" max="10769" width="18.85546875" style="7" customWidth="1"/>
    <col min="10770" max="11008" width="11.42578125" style="7"/>
    <col min="11009" max="11009" width="38.28515625" style="7" customWidth="1"/>
    <col min="11010" max="11010" width="10.85546875" style="7" bestFit="1" customWidth="1"/>
    <col min="11011" max="11012" width="9.42578125" style="7" bestFit="1" customWidth="1"/>
    <col min="11013" max="11014" width="8.42578125" style="7" bestFit="1" customWidth="1"/>
    <col min="11015" max="11015" width="16.42578125" style="7" bestFit="1" customWidth="1"/>
    <col min="11016" max="11016" width="15.42578125" style="7" bestFit="1" customWidth="1"/>
    <col min="11017" max="11017" width="14.42578125" style="7" bestFit="1" customWidth="1"/>
    <col min="11018" max="11018" width="10.7109375" style="7" bestFit="1" customWidth="1"/>
    <col min="11019" max="11019" width="10.28515625" style="7" bestFit="1" customWidth="1"/>
    <col min="11020" max="11020" width="10.5703125" style="7" bestFit="1" customWidth="1"/>
    <col min="11021" max="11024" width="12.7109375" style="7" customWidth="1"/>
    <col min="11025" max="11025" width="18.85546875" style="7" customWidth="1"/>
    <col min="11026" max="11264" width="11.42578125" style="7"/>
    <col min="11265" max="11265" width="38.28515625" style="7" customWidth="1"/>
    <col min="11266" max="11266" width="10.85546875" style="7" bestFit="1" customWidth="1"/>
    <col min="11267" max="11268" width="9.42578125" style="7" bestFit="1" customWidth="1"/>
    <col min="11269" max="11270" width="8.42578125" style="7" bestFit="1" customWidth="1"/>
    <col min="11271" max="11271" width="16.42578125" style="7" bestFit="1" customWidth="1"/>
    <col min="11272" max="11272" width="15.42578125" style="7" bestFit="1" customWidth="1"/>
    <col min="11273" max="11273" width="14.42578125" style="7" bestFit="1" customWidth="1"/>
    <col min="11274" max="11274" width="10.7109375" style="7" bestFit="1" customWidth="1"/>
    <col min="11275" max="11275" width="10.28515625" style="7" bestFit="1" customWidth="1"/>
    <col min="11276" max="11276" width="10.5703125" style="7" bestFit="1" customWidth="1"/>
    <col min="11277" max="11280" width="12.7109375" style="7" customWidth="1"/>
    <col min="11281" max="11281" width="18.85546875" style="7" customWidth="1"/>
    <col min="11282" max="11520" width="11.42578125" style="7"/>
    <col min="11521" max="11521" width="38.28515625" style="7" customWidth="1"/>
    <col min="11522" max="11522" width="10.85546875" style="7" bestFit="1" customWidth="1"/>
    <col min="11523" max="11524" width="9.42578125" style="7" bestFit="1" customWidth="1"/>
    <col min="11525" max="11526" width="8.42578125" style="7" bestFit="1" customWidth="1"/>
    <col min="11527" max="11527" width="16.42578125" style="7" bestFit="1" customWidth="1"/>
    <col min="11528" max="11528" width="15.42578125" style="7" bestFit="1" customWidth="1"/>
    <col min="11529" max="11529" width="14.42578125" style="7" bestFit="1" customWidth="1"/>
    <col min="11530" max="11530" width="10.7109375" style="7" bestFit="1" customWidth="1"/>
    <col min="11531" max="11531" width="10.28515625" style="7" bestFit="1" customWidth="1"/>
    <col min="11532" max="11532" width="10.5703125" style="7" bestFit="1" customWidth="1"/>
    <col min="11533" max="11536" width="12.7109375" style="7" customWidth="1"/>
    <col min="11537" max="11537" width="18.85546875" style="7" customWidth="1"/>
    <col min="11538" max="11776" width="11.42578125" style="7"/>
    <col min="11777" max="11777" width="38.28515625" style="7" customWidth="1"/>
    <col min="11778" max="11778" width="10.85546875" style="7" bestFit="1" customWidth="1"/>
    <col min="11779" max="11780" width="9.42578125" style="7" bestFit="1" customWidth="1"/>
    <col min="11781" max="11782" width="8.42578125" style="7" bestFit="1" customWidth="1"/>
    <col min="11783" max="11783" width="16.42578125" style="7" bestFit="1" customWidth="1"/>
    <col min="11784" max="11784" width="15.42578125" style="7" bestFit="1" customWidth="1"/>
    <col min="11785" max="11785" width="14.42578125" style="7" bestFit="1" customWidth="1"/>
    <col min="11786" max="11786" width="10.7109375" style="7" bestFit="1" customWidth="1"/>
    <col min="11787" max="11787" width="10.28515625" style="7" bestFit="1" customWidth="1"/>
    <col min="11788" max="11788" width="10.5703125" style="7" bestFit="1" customWidth="1"/>
    <col min="11789" max="11792" width="12.7109375" style="7" customWidth="1"/>
    <col min="11793" max="11793" width="18.85546875" style="7" customWidth="1"/>
    <col min="11794" max="12032" width="11.42578125" style="7"/>
    <col min="12033" max="12033" width="38.28515625" style="7" customWidth="1"/>
    <col min="12034" max="12034" width="10.85546875" style="7" bestFit="1" customWidth="1"/>
    <col min="12035" max="12036" width="9.42578125" style="7" bestFit="1" customWidth="1"/>
    <col min="12037" max="12038" width="8.42578125" style="7" bestFit="1" customWidth="1"/>
    <col min="12039" max="12039" width="16.42578125" style="7" bestFit="1" customWidth="1"/>
    <col min="12040" max="12040" width="15.42578125" style="7" bestFit="1" customWidth="1"/>
    <col min="12041" max="12041" width="14.42578125" style="7" bestFit="1" customWidth="1"/>
    <col min="12042" max="12042" width="10.7109375" style="7" bestFit="1" customWidth="1"/>
    <col min="12043" max="12043" width="10.28515625" style="7" bestFit="1" customWidth="1"/>
    <col min="12044" max="12044" width="10.5703125" style="7" bestFit="1" customWidth="1"/>
    <col min="12045" max="12048" width="12.7109375" style="7" customWidth="1"/>
    <col min="12049" max="12049" width="18.85546875" style="7" customWidth="1"/>
    <col min="12050" max="12288" width="11.42578125" style="7"/>
    <col min="12289" max="12289" width="38.28515625" style="7" customWidth="1"/>
    <col min="12290" max="12290" width="10.85546875" style="7" bestFit="1" customWidth="1"/>
    <col min="12291" max="12292" width="9.42578125" style="7" bestFit="1" customWidth="1"/>
    <col min="12293" max="12294" width="8.42578125" style="7" bestFit="1" customWidth="1"/>
    <col min="12295" max="12295" width="16.42578125" style="7" bestFit="1" customWidth="1"/>
    <col min="12296" max="12296" width="15.42578125" style="7" bestFit="1" customWidth="1"/>
    <col min="12297" max="12297" width="14.42578125" style="7" bestFit="1" customWidth="1"/>
    <col min="12298" max="12298" width="10.7109375" style="7" bestFit="1" customWidth="1"/>
    <col min="12299" max="12299" width="10.28515625" style="7" bestFit="1" customWidth="1"/>
    <col min="12300" max="12300" width="10.5703125" style="7" bestFit="1" customWidth="1"/>
    <col min="12301" max="12304" width="12.7109375" style="7" customWidth="1"/>
    <col min="12305" max="12305" width="18.85546875" style="7" customWidth="1"/>
    <col min="12306" max="12544" width="11.42578125" style="7"/>
    <col min="12545" max="12545" width="38.28515625" style="7" customWidth="1"/>
    <col min="12546" max="12546" width="10.85546875" style="7" bestFit="1" customWidth="1"/>
    <col min="12547" max="12548" width="9.42578125" style="7" bestFit="1" customWidth="1"/>
    <col min="12549" max="12550" width="8.42578125" style="7" bestFit="1" customWidth="1"/>
    <col min="12551" max="12551" width="16.42578125" style="7" bestFit="1" customWidth="1"/>
    <col min="12552" max="12552" width="15.42578125" style="7" bestFit="1" customWidth="1"/>
    <col min="12553" max="12553" width="14.42578125" style="7" bestFit="1" customWidth="1"/>
    <col min="12554" max="12554" width="10.7109375" style="7" bestFit="1" customWidth="1"/>
    <col min="12555" max="12555" width="10.28515625" style="7" bestFit="1" customWidth="1"/>
    <col min="12556" max="12556" width="10.5703125" style="7" bestFit="1" customWidth="1"/>
    <col min="12557" max="12560" width="12.7109375" style="7" customWidth="1"/>
    <col min="12561" max="12561" width="18.85546875" style="7" customWidth="1"/>
    <col min="12562" max="12800" width="11.42578125" style="7"/>
    <col min="12801" max="12801" width="38.28515625" style="7" customWidth="1"/>
    <col min="12802" max="12802" width="10.85546875" style="7" bestFit="1" customWidth="1"/>
    <col min="12803" max="12804" width="9.42578125" style="7" bestFit="1" customWidth="1"/>
    <col min="12805" max="12806" width="8.42578125" style="7" bestFit="1" customWidth="1"/>
    <col min="12807" max="12807" width="16.42578125" style="7" bestFit="1" customWidth="1"/>
    <col min="12808" max="12808" width="15.42578125" style="7" bestFit="1" customWidth="1"/>
    <col min="12809" max="12809" width="14.42578125" style="7" bestFit="1" customWidth="1"/>
    <col min="12810" max="12810" width="10.7109375" style="7" bestFit="1" customWidth="1"/>
    <col min="12811" max="12811" width="10.28515625" style="7" bestFit="1" customWidth="1"/>
    <col min="12812" max="12812" width="10.5703125" style="7" bestFit="1" customWidth="1"/>
    <col min="12813" max="12816" width="12.7109375" style="7" customWidth="1"/>
    <col min="12817" max="12817" width="18.85546875" style="7" customWidth="1"/>
    <col min="12818" max="13056" width="11.42578125" style="7"/>
    <col min="13057" max="13057" width="38.28515625" style="7" customWidth="1"/>
    <col min="13058" max="13058" width="10.85546875" style="7" bestFit="1" customWidth="1"/>
    <col min="13059" max="13060" width="9.42578125" style="7" bestFit="1" customWidth="1"/>
    <col min="13061" max="13062" width="8.42578125" style="7" bestFit="1" customWidth="1"/>
    <col min="13063" max="13063" width="16.42578125" style="7" bestFit="1" customWidth="1"/>
    <col min="13064" max="13064" width="15.42578125" style="7" bestFit="1" customWidth="1"/>
    <col min="13065" max="13065" width="14.42578125" style="7" bestFit="1" customWidth="1"/>
    <col min="13066" max="13066" width="10.7109375" style="7" bestFit="1" customWidth="1"/>
    <col min="13067" max="13067" width="10.28515625" style="7" bestFit="1" customWidth="1"/>
    <col min="13068" max="13068" width="10.5703125" style="7" bestFit="1" customWidth="1"/>
    <col min="13069" max="13072" width="12.7109375" style="7" customWidth="1"/>
    <col min="13073" max="13073" width="18.85546875" style="7" customWidth="1"/>
    <col min="13074" max="13312" width="11.42578125" style="7"/>
    <col min="13313" max="13313" width="38.28515625" style="7" customWidth="1"/>
    <col min="13314" max="13314" width="10.85546875" style="7" bestFit="1" customWidth="1"/>
    <col min="13315" max="13316" width="9.42578125" style="7" bestFit="1" customWidth="1"/>
    <col min="13317" max="13318" width="8.42578125" style="7" bestFit="1" customWidth="1"/>
    <col min="13319" max="13319" width="16.42578125" style="7" bestFit="1" customWidth="1"/>
    <col min="13320" max="13320" width="15.42578125" style="7" bestFit="1" customWidth="1"/>
    <col min="13321" max="13321" width="14.42578125" style="7" bestFit="1" customWidth="1"/>
    <col min="13322" max="13322" width="10.7109375" style="7" bestFit="1" customWidth="1"/>
    <col min="13323" max="13323" width="10.28515625" style="7" bestFit="1" customWidth="1"/>
    <col min="13324" max="13324" width="10.5703125" style="7" bestFit="1" customWidth="1"/>
    <col min="13325" max="13328" width="12.7109375" style="7" customWidth="1"/>
    <col min="13329" max="13329" width="18.85546875" style="7" customWidth="1"/>
    <col min="13330" max="13568" width="11.42578125" style="7"/>
    <col min="13569" max="13569" width="38.28515625" style="7" customWidth="1"/>
    <col min="13570" max="13570" width="10.85546875" style="7" bestFit="1" customWidth="1"/>
    <col min="13571" max="13572" width="9.42578125" style="7" bestFit="1" customWidth="1"/>
    <col min="13573" max="13574" width="8.42578125" style="7" bestFit="1" customWidth="1"/>
    <col min="13575" max="13575" width="16.42578125" style="7" bestFit="1" customWidth="1"/>
    <col min="13576" max="13576" width="15.42578125" style="7" bestFit="1" customWidth="1"/>
    <col min="13577" max="13577" width="14.42578125" style="7" bestFit="1" customWidth="1"/>
    <col min="13578" max="13578" width="10.7109375" style="7" bestFit="1" customWidth="1"/>
    <col min="13579" max="13579" width="10.28515625" style="7" bestFit="1" customWidth="1"/>
    <col min="13580" max="13580" width="10.5703125" style="7" bestFit="1" customWidth="1"/>
    <col min="13581" max="13584" width="12.7109375" style="7" customWidth="1"/>
    <col min="13585" max="13585" width="18.85546875" style="7" customWidth="1"/>
    <col min="13586" max="13824" width="11.42578125" style="7"/>
    <col min="13825" max="13825" width="38.28515625" style="7" customWidth="1"/>
    <col min="13826" max="13826" width="10.85546875" style="7" bestFit="1" customWidth="1"/>
    <col min="13827" max="13828" width="9.42578125" style="7" bestFit="1" customWidth="1"/>
    <col min="13829" max="13830" width="8.42578125" style="7" bestFit="1" customWidth="1"/>
    <col min="13831" max="13831" width="16.42578125" style="7" bestFit="1" customWidth="1"/>
    <col min="13832" max="13832" width="15.42578125" style="7" bestFit="1" customWidth="1"/>
    <col min="13833" max="13833" width="14.42578125" style="7" bestFit="1" customWidth="1"/>
    <col min="13834" max="13834" width="10.7109375" style="7" bestFit="1" customWidth="1"/>
    <col min="13835" max="13835" width="10.28515625" style="7" bestFit="1" customWidth="1"/>
    <col min="13836" max="13836" width="10.5703125" style="7" bestFit="1" customWidth="1"/>
    <col min="13837" max="13840" width="12.7109375" style="7" customWidth="1"/>
    <col min="13841" max="13841" width="18.85546875" style="7" customWidth="1"/>
    <col min="13842" max="14080" width="11.42578125" style="7"/>
    <col min="14081" max="14081" width="38.28515625" style="7" customWidth="1"/>
    <col min="14082" max="14082" width="10.85546875" style="7" bestFit="1" customWidth="1"/>
    <col min="14083" max="14084" width="9.42578125" style="7" bestFit="1" customWidth="1"/>
    <col min="14085" max="14086" width="8.42578125" style="7" bestFit="1" customWidth="1"/>
    <col min="14087" max="14087" width="16.42578125" style="7" bestFit="1" customWidth="1"/>
    <col min="14088" max="14088" width="15.42578125" style="7" bestFit="1" customWidth="1"/>
    <col min="14089" max="14089" width="14.42578125" style="7" bestFit="1" customWidth="1"/>
    <col min="14090" max="14090" width="10.7109375" style="7" bestFit="1" customWidth="1"/>
    <col min="14091" max="14091" width="10.28515625" style="7" bestFit="1" customWidth="1"/>
    <col min="14092" max="14092" width="10.5703125" style="7" bestFit="1" customWidth="1"/>
    <col min="14093" max="14096" width="12.7109375" style="7" customWidth="1"/>
    <col min="14097" max="14097" width="18.85546875" style="7" customWidth="1"/>
    <col min="14098" max="14336" width="11.42578125" style="7"/>
    <col min="14337" max="14337" width="38.28515625" style="7" customWidth="1"/>
    <col min="14338" max="14338" width="10.85546875" style="7" bestFit="1" customWidth="1"/>
    <col min="14339" max="14340" width="9.42578125" style="7" bestFit="1" customWidth="1"/>
    <col min="14341" max="14342" width="8.42578125" style="7" bestFit="1" customWidth="1"/>
    <col min="14343" max="14343" width="16.42578125" style="7" bestFit="1" customWidth="1"/>
    <col min="14344" max="14344" width="15.42578125" style="7" bestFit="1" customWidth="1"/>
    <col min="14345" max="14345" width="14.42578125" style="7" bestFit="1" customWidth="1"/>
    <col min="14346" max="14346" width="10.7109375" style="7" bestFit="1" customWidth="1"/>
    <col min="14347" max="14347" width="10.28515625" style="7" bestFit="1" customWidth="1"/>
    <col min="14348" max="14348" width="10.5703125" style="7" bestFit="1" customWidth="1"/>
    <col min="14349" max="14352" width="12.7109375" style="7" customWidth="1"/>
    <col min="14353" max="14353" width="18.85546875" style="7" customWidth="1"/>
    <col min="14354" max="14592" width="11.42578125" style="7"/>
    <col min="14593" max="14593" width="38.28515625" style="7" customWidth="1"/>
    <col min="14594" max="14594" width="10.85546875" style="7" bestFit="1" customWidth="1"/>
    <col min="14595" max="14596" width="9.42578125" style="7" bestFit="1" customWidth="1"/>
    <col min="14597" max="14598" width="8.42578125" style="7" bestFit="1" customWidth="1"/>
    <col min="14599" max="14599" width="16.42578125" style="7" bestFit="1" customWidth="1"/>
    <col min="14600" max="14600" width="15.42578125" style="7" bestFit="1" customWidth="1"/>
    <col min="14601" max="14601" width="14.42578125" style="7" bestFit="1" customWidth="1"/>
    <col min="14602" max="14602" width="10.7109375" style="7" bestFit="1" customWidth="1"/>
    <col min="14603" max="14603" width="10.28515625" style="7" bestFit="1" customWidth="1"/>
    <col min="14604" max="14604" width="10.5703125" style="7" bestFit="1" customWidth="1"/>
    <col min="14605" max="14608" width="12.7109375" style="7" customWidth="1"/>
    <col min="14609" max="14609" width="18.85546875" style="7" customWidth="1"/>
    <col min="14610" max="14848" width="11.42578125" style="7"/>
    <col min="14849" max="14849" width="38.28515625" style="7" customWidth="1"/>
    <col min="14850" max="14850" width="10.85546875" style="7" bestFit="1" customWidth="1"/>
    <col min="14851" max="14852" width="9.42578125" style="7" bestFit="1" customWidth="1"/>
    <col min="14853" max="14854" width="8.42578125" style="7" bestFit="1" customWidth="1"/>
    <col min="14855" max="14855" width="16.42578125" style="7" bestFit="1" customWidth="1"/>
    <col min="14856" max="14856" width="15.42578125" style="7" bestFit="1" customWidth="1"/>
    <col min="14857" max="14857" width="14.42578125" style="7" bestFit="1" customWidth="1"/>
    <col min="14858" max="14858" width="10.7109375" style="7" bestFit="1" customWidth="1"/>
    <col min="14859" max="14859" width="10.28515625" style="7" bestFit="1" customWidth="1"/>
    <col min="14860" max="14860" width="10.5703125" style="7" bestFit="1" customWidth="1"/>
    <col min="14861" max="14864" width="12.7109375" style="7" customWidth="1"/>
    <col min="14865" max="14865" width="18.85546875" style="7" customWidth="1"/>
    <col min="14866" max="15104" width="11.42578125" style="7"/>
    <col min="15105" max="15105" width="38.28515625" style="7" customWidth="1"/>
    <col min="15106" max="15106" width="10.85546875" style="7" bestFit="1" customWidth="1"/>
    <col min="15107" max="15108" width="9.42578125" style="7" bestFit="1" customWidth="1"/>
    <col min="15109" max="15110" width="8.42578125" style="7" bestFit="1" customWidth="1"/>
    <col min="15111" max="15111" width="16.42578125" style="7" bestFit="1" customWidth="1"/>
    <col min="15112" max="15112" width="15.42578125" style="7" bestFit="1" customWidth="1"/>
    <col min="15113" max="15113" width="14.42578125" style="7" bestFit="1" customWidth="1"/>
    <col min="15114" max="15114" width="10.7109375" style="7" bestFit="1" customWidth="1"/>
    <col min="15115" max="15115" width="10.28515625" style="7" bestFit="1" customWidth="1"/>
    <col min="15116" max="15116" width="10.5703125" style="7" bestFit="1" customWidth="1"/>
    <col min="15117" max="15120" width="12.7109375" style="7" customWidth="1"/>
    <col min="15121" max="15121" width="18.85546875" style="7" customWidth="1"/>
    <col min="15122" max="15360" width="11.42578125" style="7"/>
    <col min="15361" max="15361" width="38.28515625" style="7" customWidth="1"/>
    <col min="15362" max="15362" width="10.85546875" style="7" bestFit="1" customWidth="1"/>
    <col min="15363" max="15364" width="9.42578125" style="7" bestFit="1" customWidth="1"/>
    <col min="15365" max="15366" width="8.42578125" style="7" bestFit="1" customWidth="1"/>
    <col min="15367" max="15367" width="16.42578125" style="7" bestFit="1" customWidth="1"/>
    <col min="15368" max="15368" width="15.42578125" style="7" bestFit="1" customWidth="1"/>
    <col min="15369" max="15369" width="14.42578125" style="7" bestFit="1" customWidth="1"/>
    <col min="15370" max="15370" width="10.7109375" style="7" bestFit="1" customWidth="1"/>
    <col min="15371" max="15371" width="10.28515625" style="7" bestFit="1" customWidth="1"/>
    <col min="15372" max="15372" width="10.5703125" style="7" bestFit="1" customWidth="1"/>
    <col min="15373" max="15376" width="12.7109375" style="7" customWidth="1"/>
    <col min="15377" max="15377" width="18.85546875" style="7" customWidth="1"/>
    <col min="15378" max="15616" width="11.42578125" style="7"/>
    <col min="15617" max="15617" width="38.28515625" style="7" customWidth="1"/>
    <col min="15618" max="15618" width="10.85546875" style="7" bestFit="1" customWidth="1"/>
    <col min="15619" max="15620" width="9.42578125" style="7" bestFit="1" customWidth="1"/>
    <col min="15621" max="15622" width="8.42578125" style="7" bestFit="1" customWidth="1"/>
    <col min="15623" max="15623" width="16.42578125" style="7" bestFit="1" customWidth="1"/>
    <col min="15624" max="15624" width="15.42578125" style="7" bestFit="1" customWidth="1"/>
    <col min="15625" max="15625" width="14.42578125" style="7" bestFit="1" customWidth="1"/>
    <col min="15626" max="15626" width="10.7109375" style="7" bestFit="1" customWidth="1"/>
    <col min="15627" max="15627" width="10.28515625" style="7" bestFit="1" customWidth="1"/>
    <col min="15628" max="15628" width="10.5703125" style="7" bestFit="1" customWidth="1"/>
    <col min="15629" max="15632" width="12.7109375" style="7" customWidth="1"/>
    <col min="15633" max="15633" width="18.85546875" style="7" customWidth="1"/>
    <col min="15634" max="15872" width="11.42578125" style="7"/>
    <col min="15873" max="15873" width="38.28515625" style="7" customWidth="1"/>
    <col min="15874" max="15874" width="10.85546875" style="7" bestFit="1" customWidth="1"/>
    <col min="15875" max="15876" width="9.42578125" style="7" bestFit="1" customWidth="1"/>
    <col min="15877" max="15878" width="8.42578125" style="7" bestFit="1" customWidth="1"/>
    <col min="15879" max="15879" width="16.42578125" style="7" bestFit="1" customWidth="1"/>
    <col min="15880" max="15880" width="15.42578125" style="7" bestFit="1" customWidth="1"/>
    <col min="15881" max="15881" width="14.42578125" style="7" bestFit="1" customWidth="1"/>
    <col min="15882" max="15882" width="10.7109375" style="7" bestFit="1" customWidth="1"/>
    <col min="15883" max="15883" width="10.28515625" style="7" bestFit="1" customWidth="1"/>
    <col min="15884" max="15884" width="10.5703125" style="7" bestFit="1" customWidth="1"/>
    <col min="15885" max="15888" width="12.7109375" style="7" customWidth="1"/>
    <col min="15889" max="15889" width="18.85546875" style="7" customWidth="1"/>
    <col min="15890" max="16128" width="11.42578125" style="7"/>
    <col min="16129" max="16129" width="38.28515625" style="7" customWidth="1"/>
    <col min="16130" max="16130" width="10.85546875" style="7" bestFit="1" customWidth="1"/>
    <col min="16131" max="16132" width="9.42578125" style="7" bestFit="1" customWidth="1"/>
    <col min="16133" max="16134" width="8.42578125" style="7" bestFit="1" customWidth="1"/>
    <col min="16135" max="16135" width="16.42578125" style="7" bestFit="1" customWidth="1"/>
    <col min="16136" max="16136" width="15.42578125" style="7" bestFit="1" customWidth="1"/>
    <col min="16137" max="16137" width="14.42578125" style="7" bestFit="1" customWidth="1"/>
    <col min="16138" max="16138" width="10.7109375" style="7" bestFit="1" customWidth="1"/>
    <col min="16139" max="16139" width="10.28515625" style="7" bestFit="1" customWidth="1"/>
    <col min="16140" max="16140" width="10.5703125" style="7" bestFit="1" customWidth="1"/>
    <col min="16141" max="16144" width="12.7109375" style="7" customWidth="1"/>
    <col min="16145" max="16145" width="18.85546875" style="7" customWidth="1"/>
    <col min="16146" max="16384" width="11.42578125" style="7"/>
  </cols>
  <sheetData>
    <row r="1" spans="1:34" ht="15.75" x14ac:dyDescent="0.25">
      <c r="A1" s="101" t="s">
        <v>176</v>
      </c>
      <c r="B1" s="102" t="s">
        <v>177</v>
      </c>
      <c r="C1" s="102" t="s">
        <v>178</v>
      </c>
      <c r="D1" s="102" t="s">
        <v>179</v>
      </c>
      <c r="E1" s="102" t="s">
        <v>180</v>
      </c>
      <c r="F1" s="102" t="s">
        <v>181</v>
      </c>
      <c r="G1" s="103" t="s">
        <v>182</v>
      </c>
      <c r="H1" s="103" t="s">
        <v>70</v>
      </c>
      <c r="I1" s="103" t="s">
        <v>183</v>
      </c>
      <c r="J1" s="102" t="s">
        <v>179</v>
      </c>
      <c r="K1" s="102" t="s">
        <v>184</v>
      </c>
      <c r="L1" s="102" t="s">
        <v>177</v>
      </c>
      <c r="M1" s="104"/>
      <c r="N1" s="104"/>
      <c r="O1" s="104"/>
      <c r="P1" s="104"/>
      <c r="Q1" s="105"/>
      <c r="R1" s="106"/>
      <c r="S1" s="107"/>
      <c r="T1" s="108"/>
      <c r="U1" s="108"/>
      <c r="V1" s="109"/>
      <c r="W1" s="109"/>
      <c r="X1" s="109"/>
      <c r="Y1" s="106"/>
      <c r="Z1" s="107"/>
      <c r="AA1" s="108"/>
      <c r="AB1" s="110"/>
      <c r="AC1" s="110"/>
      <c r="AD1" s="110"/>
      <c r="AE1" s="110"/>
      <c r="AF1" s="110"/>
      <c r="AG1" s="111"/>
      <c r="AH1" s="111"/>
    </row>
    <row r="2" spans="1:34" ht="15" x14ac:dyDescent="0.2">
      <c r="A2" s="101" t="s">
        <v>185</v>
      </c>
      <c r="B2" s="102" t="s">
        <v>185</v>
      </c>
      <c r="C2" s="102" t="s">
        <v>186</v>
      </c>
      <c r="D2" s="102" t="s">
        <v>186</v>
      </c>
      <c r="E2" s="102" t="s">
        <v>186</v>
      </c>
      <c r="F2" s="102" t="s">
        <v>186</v>
      </c>
      <c r="G2" s="102" t="s">
        <v>187</v>
      </c>
      <c r="H2" s="102" t="s">
        <v>188</v>
      </c>
      <c r="I2" s="102" t="s">
        <v>187</v>
      </c>
      <c r="J2" s="102" t="s">
        <v>189</v>
      </c>
      <c r="K2" s="102" t="s">
        <v>190</v>
      </c>
      <c r="L2" s="102" t="s">
        <v>191</v>
      </c>
      <c r="M2" s="102" t="s">
        <v>192</v>
      </c>
      <c r="N2" s="102" t="s">
        <v>193</v>
      </c>
      <c r="O2" s="102" t="s">
        <v>194</v>
      </c>
      <c r="P2" s="102" t="s">
        <v>195</v>
      </c>
      <c r="Q2" s="105"/>
      <c r="R2" s="106"/>
      <c r="S2" s="107"/>
      <c r="T2" s="108"/>
      <c r="U2" s="108"/>
      <c r="V2" s="109"/>
      <c r="W2" s="109"/>
      <c r="X2" s="109"/>
      <c r="Y2" s="106"/>
      <c r="Z2" s="107"/>
      <c r="AA2" s="108"/>
      <c r="AB2" s="110"/>
      <c r="AC2" s="110"/>
      <c r="AD2" s="110"/>
      <c r="AE2" s="110"/>
      <c r="AF2" s="110"/>
      <c r="AG2" s="111"/>
      <c r="AH2" s="111"/>
    </row>
    <row r="3" spans="1:34" ht="15" x14ac:dyDescent="0.2">
      <c r="A3" s="101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 t="s">
        <v>196</v>
      </c>
      <c r="N3" s="102" t="s">
        <v>196</v>
      </c>
      <c r="O3" s="102" t="s">
        <v>196</v>
      </c>
      <c r="P3" s="102" t="s">
        <v>196</v>
      </c>
      <c r="Q3" s="105"/>
      <c r="R3" s="106"/>
      <c r="S3" s="107"/>
      <c r="T3" s="108"/>
      <c r="U3" s="108"/>
      <c r="V3" s="109"/>
      <c r="W3" s="109"/>
      <c r="X3" s="109"/>
      <c r="Y3" s="106"/>
      <c r="Z3" s="107"/>
      <c r="AA3" s="108"/>
      <c r="AB3" s="110"/>
      <c r="AC3" s="110"/>
      <c r="AD3" s="110"/>
      <c r="AE3" s="110"/>
      <c r="AF3" s="110"/>
      <c r="AG3" s="111"/>
      <c r="AH3" s="111"/>
    </row>
    <row r="4" spans="1:34" s="121" customFormat="1" ht="15" x14ac:dyDescent="0.25">
      <c r="A4" s="288"/>
      <c r="B4" s="112"/>
      <c r="C4" s="282"/>
      <c r="D4" s="282"/>
      <c r="E4" s="282"/>
      <c r="F4" s="282"/>
      <c r="G4" s="286">
        <f>F4*D4*C4*B4</f>
        <v>0</v>
      </c>
      <c r="H4" s="286">
        <f>B4*(C4+D4)*2*E4</f>
        <v>0</v>
      </c>
      <c r="I4" s="286">
        <f>B4*C4*D4*E4</f>
        <v>0</v>
      </c>
      <c r="J4" s="113">
        <f>C4</f>
        <v>0</v>
      </c>
      <c r="K4" s="114"/>
      <c r="L4" s="114"/>
      <c r="M4" s="113" t="str">
        <f>+IF(K4=5,L4*J4*B4*1.043,"")</f>
        <v/>
      </c>
      <c r="N4" s="113" t="str">
        <f>+IF(K4=6,L4*J4*B4*1.503,"")</f>
        <v/>
      </c>
      <c r="O4" s="113" t="str">
        <f>+IF(K4=7,B4*J4*L4*2.044,"")</f>
        <v/>
      </c>
      <c r="P4" s="113" t="str">
        <f>+IF(K4=8,J4*L4*B4*2.64,"")</f>
        <v/>
      </c>
      <c r="Q4" s="115"/>
      <c r="R4" s="116"/>
      <c r="S4" s="117"/>
      <c r="T4" s="118"/>
      <c r="U4" s="118"/>
      <c r="V4" s="115"/>
      <c r="W4" s="115"/>
      <c r="X4" s="115"/>
      <c r="Y4" s="116"/>
      <c r="Z4" s="117"/>
      <c r="AA4" s="118"/>
      <c r="AB4" s="119"/>
      <c r="AC4" s="119"/>
      <c r="AD4" s="119"/>
      <c r="AE4" s="119"/>
      <c r="AF4" s="119"/>
      <c r="AG4" s="120"/>
      <c r="AH4" s="120"/>
    </row>
    <row r="5" spans="1:34" s="121" customFormat="1" ht="15" x14ac:dyDescent="0.25">
      <c r="A5" s="289"/>
      <c r="B5" s="112"/>
      <c r="C5" s="282"/>
      <c r="D5" s="282"/>
      <c r="E5" s="282"/>
      <c r="F5" s="282"/>
      <c r="G5" s="286"/>
      <c r="H5" s="286"/>
      <c r="I5" s="286"/>
      <c r="J5" s="113">
        <f>D4</f>
        <v>0</v>
      </c>
      <c r="K5" s="114"/>
      <c r="L5" s="114"/>
      <c r="M5" s="113" t="str">
        <f t="shared" ref="M5:M47" si="0">+IF(K5=5,L5*J5*B5*1.043,"")</f>
        <v/>
      </c>
      <c r="N5" s="113" t="str">
        <f t="shared" ref="N5:N47" si="1">+IF(K5=6,L5*J5*B5*1.503,"")</f>
        <v/>
      </c>
      <c r="O5" s="113" t="str">
        <f t="shared" ref="O5:O47" si="2">+IF(K5=7,B5*J5*L5*2.044,"")</f>
        <v/>
      </c>
      <c r="P5" s="113" t="str">
        <f t="shared" ref="P5:P47" si="3">+IF(K5=8,J5*L5*B5*2.64,"")</f>
        <v/>
      </c>
      <c r="Q5" s="115"/>
      <c r="R5" s="116"/>
      <c r="S5" s="117"/>
      <c r="T5" s="118"/>
      <c r="U5" s="118"/>
      <c r="V5" s="115"/>
      <c r="W5" s="115"/>
      <c r="X5" s="115"/>
      <c r="Y5" s="116"/>
      <c r="Z5" s="117"/>
      <c r="AA5" s="118"/>
      <c r="AB5" s="119"/>
      <c r="AC5" s="119"/>
      <c r="AD5" s="119"/>
      <c r="AE5" s="119"/>
      <c r="AF5" s="119"/>
      <c r="AG5" s="120"/>
      <c r="AH5" s="120"/>
    </row>
    <row r="6" spans="1:34" s="121" customFormat="1" ht="15" x14ac:dyDescent="0.25">
      <c r="A6" s="289"/>
      <c r="B6" s="112"/>
      <c r="C6" s="282"/>
      <c r="D6" s="282"/>
      <c r="E6" s="282"/>
      <c r="F6" s="282"/>
      <c r="G6" s="286"/>
      <c r="H6" s="286"/>
      <c r="I6" s="286"/>
      <c r="J6" s="113">
        <f>C4</f>
        <v>0</v>
      </c>
      <c r="K6" s="114"/>
      <c r="L6" s="114"/>
      <c r="M6" s="113" t="str">
        <f t="shared" si="0"/>
        <v/>
      </c>
      <c r="N6" s="113" t="str">
        <f t="shared" si="1"/>
        <v/>
      </c>
      <c r="O6" s="113" t="str">
        <f t="shared" si="2"/>
        <v/>
      </c>
      <c r="P6" s="113" t="str">
        <f t="shared" si="3"/>
        <v/>
      </c>
      <c r="Q6" s="115"/>
      <c r="R6" s="116"/>
      <c r="S6" s="117"/>
      <c r="T6" s="118"/>
      <c r="U6" s="118"/>
      <c r="V6" s="115"/>
      <c r="W6" s="115"/>
      <c r="X6" s="115"/>
      <c r="Y6" s="116"/>
      <c r="Z6" s="117"/>
      <c r="AA6" s="118"/>
      <c r="AB6" s="119"/>
      <c r="AC6" s="119"/>
      <c r="AD6" s="119"/>
      <c r="AE6" s="119"/>
      <c r="AF6" s="119"/>
      <c r="AG6" s="120"/>
      <c r="AH6" s="120"/>
    </row>
    <row r="7" spans="1:34" s="121" customFormat="1" ht="15" x14ac:dyDescent="0.25">
      <c r="A7" s="290"/>
      <c r="B7" s="112"/>
      <c r="C7" s="282"/>
      <c r="D7" s="282"/>
      <c r="E7" s="282"/>
      <c r="F7" s="282"/>
      <c r="G7" s="286"/>
      <c r="H7" s="286"/>
      <c r="I7" s="286"/>
      <c r="J7" s="113">
        <f>D4</f>
        <v>0</v>
      </c>
      <c r="K7" s="114"/>
      <c r="L7" s="114"/>
      <c r="M7" s="113" t="str">
        <f t="shared" si="0"/>
        <v/>
      </c>
      <c r="N7" s="113" t="str">
        <f t="shared" si="1"/>
        <v/>
      </c>
      <c r="O7" s="113" t="str">
        <f t="shared" si="2"/>
        <v/>
      </c>
      <c r="P7" s="113" t="str">
        <f t="shared" si="3"/>
        <v/>
      </c>
      <c r="Q7" s="115"/>
      <c r="R7" s="116"/>
      <c r="S7" s="117"/>
      <c r="T7" s="118"/>
      <c r="U7" s="118"/>
      <c r="V7" s="115"/>
      <c r="W7" s="115"/>
      <c r="X7" s="115"/>
      <c r="Y7" s="116"/>
      <c r="Z7" s="117"/>
      <c r="AA7" s="118"/>
      <c r="AB7" s="119"/>
      <c r="AC7" s="119"/>
      <c r="AD7" s="119"/>
      <c r="AE7" s="119"/>
      <c r="AF7" s="119"/>
      <c r="AG7" s="120"/>
      <c r="AH7" s="120"/>
    </row>
    <row r="8" spans="1:34" s="121" customFormat="1" ht="15" x14ac:dyDescent="0.25">
      <c r="A8" s="287"/>
      <c r="B8" s="112"/>
      <c r="C8" s="282"/>
      <c r="D8" s="282"/>
      <c r="E8" s="282"/>
      <c r="F8" s="282"/>
      <c r="G8" s="286">
        <f>F8*D8*C8*B8</f>
        <v>0</v>
      </c>
      <c r="H8" s="286">
        <f>B8*(C8+D8)*2*E8</f>
        <v>0</v>
      </c>
      <c r="I8" s="286">
        <f>B8*C8*D8*E8</f>
        <v>0</v>
      </c>
      <c r="J8" s="113">
        <f>C8</f>
        <v>0</v>
      </c>
      <c r="K8" s="114"/>
      <c r="L8" s="114"/>
      <c r="M8" s="113" t="str">
        <f t="shared" si="0"/>
        <v/>
      </c>
      <c r="N8" s="113" t="str">
        <f t="shared" si="1"/>
        <v/>
      </c>
      <c r="O8" s="113" t="str">
        <f t="shared" si="2"/>
        <v/>
      </c>
      <c r="P8" s="113" t="str">
        <f t="shared" si="3"/>
        <v/>
      </c>
      <c r="Q8" s="115"/>
      <c r="R8" s="116"/>
      <c r="S8" s="117"/>
      <c r="T8" s="118"/>
      <c r="U8" s="118"/>
      <c r="V8" s="115"/>
      <c r="W8" s="115"/>
      <c r="X8" s="115"/>
      <c r="Y8" s="116"/>
      <c r="Z8" s="117"/>
      <c r="AA8" s="118"/>
      <c r="AB8" s="119"/>
      <c r="AC8" s="119"/>
      <c r="AD8" s="119"/>
      <c r="AE8" s="119"/>
      <c r="AF8" s="119"/>
      <c r="AG8" s="120"/>
      <c r="AH8" s="120"/>
    </row>
    <row r="9" spans="1:34" s="121" customFormat="1" ht="15" x14ac:dyDescent="0.25">
      <c r="A9" s="287"/>
      <c r="B9" s="112"/>
      <c r="C9" s="282"/>
      <c r="D9" s="282"/>
      <c r="E9" s="282"/>
      <c r="F9" s="282"/>
      <c r="G9" s="286"/>
      <c r="H9" s="286"/>
      <c r="I9" s="286"/>
      <c r="J9" s="113">
        <f>D8</f>
        <v>0</v>
      </c>
      <c r="K9" s="114"/>
      <c r="L9" s="114"/>
      <c r="M9" s="113" t="str">
        <f t="shared" si="0"/>
        <v/>
      </c>
      <c r="N9" s="113" t="str">
        <f t="shared" si="1"/>
        <v/>
      </c>
      <c r="O9" s="113" t="str">
        <f t="shared" si="2"/>
        <v/>
      </c>
      <c r="P9" s="113" t="str">
        <f t="shared" si="3"/>
        <v/>
      </c>
      <c r="Q9" s="115"/>
      <c r="R9" s="116"/>
      <c r="S9" s="117"/>
      <c r="T9" s="118"/>
      <c r="U9" s="118"/>
      <c r="V9" s="115"/>
      <c r="W9" s="115"/>
      <c r="X9" s="115"/>
      <c r="Y9" s="116"/>
      <c r="Z9" s="117"/>
      <c r="AA9" s="118"/>
      <c r="AB9" s="119"/>
      <c r="AC9" s="119"/>
      <c r="AD9" s="119"/>
      <c r="AE9" s="119"/>
      <c r="AF9" s="119"/>
      <c r="AG9" s="120"/>
      <c r="AH9" s="120"/>
    </row>
    <row r="10" spans="1:34" s="121" customFormat="1" ht="15" x14ac:dyDescent="0.25">
      <c r="A10" s="287"/>
      <c r="B10" s="112"/>
      <c r="C10" s="282"/>
      <c r="D10" s="282"/>
      <c r="E10" s="282"/>
      <c r="F10" s="282"/>
      <c r="G10" s="286"/>
      <c r="H10" s="286"/>
      <c r="I10" s="286"/>
      <c r="J10" s="113">
        <f>C8</f>
        <v>0</v>
      </c>
      <c r="K10" s="114"/>
      <c r="L10" s="114"/>
      <c r="M10" s="113" t="str">
        <f t="shared" si="0"/>
        <v/>
      </c>
      <c r="N10" s="113" t="str">
        <f t="shared" si="1"/>
        <v/>
      </c>
      <c r="O10" s="113" t="str">
        <f t="shared" si="2"/>
        <v/>
      </c>
      <c r="P10" s="113" t="str">
        <f t="shared" si="3"/>
        <v/>
      </c>
      <c r="Q10" s="115"/>
      <c r="R10" s="116"/>
      <c r="S10" s="117"/>
      <c r="T10" s="118"/>
      <c r="U10" s="118"/>
      <c r="V10" s="115"/>
      <c r="W10" s="115"/>
      <c r="X10" s="115"/>
      <c r="Y10" s="116"/>
      <c r="Z10" s="117"/>
      <c r="AA10" s="118"/>
      <c r="AB10" s="119"/>
      <c r="AC10" s="119"/>
      <c r="AD10" s="119"/>
      <c r="AE10" s="119"/>
      <c r="AF10" s="119"/>
      <c r="AG10" s="120"/>
      <c r="AH10" s="120"/>
    </row>
    <row r="11" spans="1:34" s="121" customFormat="1" ht="15" x14ac:dyDescent="0.25">
      <c r="A11" s="287"/>
      <c r="B11" s="112"/>
      <c r="C11" s="282"/>
      <c r="D11" s="282"/>
      <c r="E11" s="282"/>
      <c r="F11" s="282"/>
      <c r="G11" s="286"/>
      <c r="H11" s="286"/>
      <c r="I11" s="286"/>
      <c r="J11" s="113">
        <f>D8</f>
        <v>0</v>
      </c>
      <c r="K11" s="114"/>
      <c r="L11" s="114"/>
      <c r="M11" s="113" t="str">
        <f t="shared" si="0"/>
        <v/>
      </c>
      <c r="N11" s="113" t="str">
        <f t="shared" si="1"/>
        <v/>
      </c>
      <c r="O11" s="113" t="str">
        <f t="shared" si="2"/>
        <v/>
      </c>
      <c r="P11" s="113" t="str">
        <f t="shared" si="3"/>
        <v/>
      </c>
      <c r="Q11" s="115"/>
      <c r="R11" s="116"/>
      <c r="S11" s="117"/>
      <c r="T11" s="118"/>
      <c r="U11" s="118"/>
      <c r="V11" s="115"/>
      <c r="W11" s="115"/>
      <c r="X11" s="115"/>
      <c r="Y11" s="116"/>
      <c r="Z11" s="117"/>
      <c r="AA11" s="118"/>
      <c r="AB11" s="119"/>
      <c r="AC11" s="119"/>
      <c r="AD11" s="119"/>
      <c r="AE11" s="119"/>
      <c r="AF11" s="119"/>
      <c r="AG11" s="120"/>
      <c r="AH11" s="120"/>
    </row>
    <row r="12" spans="1:34" s="121" customFormat="1" ht="15" x14ac:dyDescent="0.25">
      <c r="A12" s="287"/>
      <c r="B12" s="112"/>
      <c r="C12" s="282"/>
      <c r="D12" s="282"/>
      <c r="E12" s="282"/>
      <c r="F12" s="282"/>
      <c r="G12" s="286">
        <f>F12*D12*C12*B12</f>
        <v>0</v>
      </c>
      <c r="H12" s="286">
        <f>B12*(C12+D12)*2*E12</f>
        <v>0</v>
      </c>
      <c r="I12" s="286">
        <f>B12*C12*D12*E12</f>
        <v>0</v>
      </c>
      <c r="J12" s="113">
        <f>C12</f>
        <v>0</v>
      </c>
      <c r="K12" s="114"/>
      <c r="L12" s="114"/>
      <c r="M12" s="113" t="str">
        <f t="shared" si="0"/>
        <v/>
      </c>
      <c r="N12" s="113" t="str">
        <f t="shared" si="1"/>
        <v/>
      </c>
      <c r="O12" s="113" t="str">
        <f t="shared" si="2"/>
        <v/>
      </c>
      <c r="P12" s="113" t="str">
        <f t="shared" si="3"/>
        <v/>
      </c>
      <c r="Q12" s="115"/>
      <c r="R12" s="116"/>
      <c r="S12" s="117"/>
      <c r="T12" s="118"/>
      <c r="U12" s="118"/>
      <c r="V12" s="115"/>
      <c r="W12" s="115"/>
      <c r="X12" s="115"/>
      <c r="Y12" s="116"/>
      <c r="Z12" s="117"/>
      <c r="AA12" s="118"/>
      <c r="AB12" s="119"/>
      <c r="AC12" s="119"/>
      <c r="AD12" s="119"/>
      <c r="AE12" s="119"/>
      <c r="AF12" s="119"/>
      <c r="AG12" s="120"/>
      <c r="AH12" s="120"/>
    </row>
    <row r="13" spans="1:34" s="121" customFormat="1" ht="15" x14ac:dyDescent="0.25">
      <c r="A13" s="287"/>
      <c r="B13" s="112"/>
      <c r="C13" s="282"/>
      <c r="D13" s="282"/>
      <c r="E13" s="282"/>
      <c r="F13" s="282"/>
      <c r="G13" s="286"/>
      <c r="H13" s="286"/>
      <c r="I13" s="286"/>
      <c r="J13" s="113">
        <f>D12</f>
        <v>0</v>
      </c>
      <c r="K13" s="114"/>
      <c r="L13" s="114"/>
      <c r="M13" s="113" t="str">
        <f t="shared" si="0"/>
        <v/>
      </c>
      <c r="N13" s="113" t="str">
        <f t="shared" si="1"/>
        <v/>
      </c>
      <c r="O13" s="113" t="str">
        <f t="shared" si="2"/>
        <v/>
      </c>
      <c r="P13" s="113" t="str">
        <f t="shared" si="3"/>
        <v/>
      </c>
      <c r="Q13" s="115"/>
      <c r="R13" s="116"/>
      <c r="S13" s="117"/>
      <c r="T13" s="118"/>
      <c r="U13" s="118"/>
      <c r="V13" s="115"/>
      <c r="W13" s="115"/>
      <c r="X13" s="115"/>
      <c r="Y13" s="116"/>
      <c r="Z13" s="117"/>
      <c r="AA13" s="118"/>
      <c r="AB13" s="119"/>
      <c r="AC13" s="119"/>
      <c r="AD13" s="119"/>
      <c r="AE13" s="119"/>
      <c r="AF13" s="119"/>
      <c r="AG13" s="120"/>
      <c r="AH13" s="120"/>
    </row>
    <row r="14" spans="1:34" s="121" customFormat="1" ht="15" x14ac:dyDescent="0.25">
      <c r="A14" s="287"/>
      <c r="B14" s="112"/>
      <c r="C14" s="282"/>
      <c r="D14" s="282"/>
      <c r="E14" s="282"/>
      <c r="F14" s="282"/>
      <c r="G14" s="286"/>
      <c r="H14" s="286"/>
      <c r="I14" s="286"/>
      <c r="J14" s="113">
        <f>C12</f>
        <v>0</v>
      </c>
      <c r="K14" s="114"/>
      <c r="L14" s="114"/>
      <c r="M14" s="113" t="str">
        <f t="shared" si="0"/>
        <v/>
      </c>
      <c r="N14" s="113" t="str">
        <f t="shared" si="1"/>
        <v/>
      </c>
      <c r="O14" s="113" t="str">
        <f t="shared" si="2"/>
        <v/>
      </c>
      <c r="P14" s="113" t="str">
        <f t="shared" si="3"/>
        <v/>
      </c>
      <c r="Q14" s="115"/>
      <c r="R14" s="116"/>
      <c r="S14" s="117"/>
      <c r="T14" s="118"/>
      <c r="U14" s="118"/>
      <c r="V14" s="115"/>
      <c r="W14" s="115"/>
      <c r="X14" s="115"/>
      <c r="Y14" s="116"/>
      <c r="Z14" s="117"/>
      <c r="AA14" s="118"/>
      <c r="AB14" s="119"/>
      <c r="AC14" s="119"/>
      <c r="AD14" s="119"/>
      <c r="AE14" s="119"/>
      <c r="AF14" s="119"/>
      <c r="AG14" s="120"/>
      <c r="AH14" s="120"/>
    </row>
    <row r="15" spans="1:34" s="121" customFormat="1" ht="15" x14ac:dyDescent="0.25">
      <c r="A15" s="287"/>
      <c r="B15" s="112"/>
      <c r="C15" s="282"/>
      <c r="D15" s="282"/>
      <c r="E15" s="282"/>
      <c r="F15" s="282"/>
      <c r="G15" s="286"/>
      <c r="H15" s="286"/>
      <c r="I15" s="286"/>
      <c r="J15" s="113">
        <f>D12</f>
        <v>0</v>
      </c>
      <c r="K15" s="114"/>
      <c r="L15" s="114"/>
      <c r="M15" s="113" t="str">
        <f t="shared" si="0"/>
        <v/>
      </c>
      <c r="N15" s="113" t="str">
        <f t="shared" si="1"/>
        <v/>
      </c>
      <c r="O15" s="113" t="str">
        <f t="shared" si="2"/>
        <v/>
      </c>
      <c r="P15" s="113" t="str">
        <f t="shared" si="3"/>
        <v/>
      </c>
      <c r="Q15" s="115"/>
      <c r="R15" s="116"/>
      <c r="S15" s="117"/>
      <c r="T15" s="118"/>
      <c r="U15" s="118"/>
      <c r="V15" s="115"/>
      <c r="W15" s="115"/>
      <c r="X15" s="115"/>
      <c r="Y15" s="116"/>
      <c r="Z15" s="117"/>
      <c r="AA15" s="118"/>
      <c r="AB15" s="119"/>
      <c r="AC15" s="119"/>
      <c r="AD15" s="119"/>
      <c r="AE15" s="119"/>
      <c r="AF15" s="119"/>
      <c r="AG15" s="120"/>
      <c r="AH15" s="120"/>
    </row>
    <row r="16" spans="1:34" s="121" customFormat="1" ht="15" x14ac:dyDescent="0.25">
      <c r="A16" s="287"/>
      <c r="B16" s="112"/>
      <c r="C16" s="282"/>
      <c r="D16" s="282"/>
      <c r="E16" s="282"/>
      <c r="F16" s="282"/>
      <c r="G16" s="286">
        <f>F16*D16*C16*B16</f>
        <v>0</v>
      </c>
      <c r="H16" s="286">
        <f>B16*(C16+D16)*2*E16</f>
        <v>0</v>
      </c>
      <c r="I16" s="286">
        <f>B16*C16*D16*E16</f>
        <v>0</v>
      </c>
      <c r="J16" s="113">
        <f>C16</f>
        <v>0</v>
      </c>
      <c r="K16" s="114"/>
      <c r="L16" s="114"/>
      <c r="M16" s="113" t="str">
        <f t="shared" si="0"/>
        <v/>
      </c>
      <c r="N16" s="113" t="str">
        <f t="shared" si="1"/>
        <v/>
      </c>
      <c r="O16" s="113" t="str">
        <f t="shared" si="2"/>
        <v/>
      </c>
      <c r="P16" s="113" t="str">
        <f t="shared" si="3"/>
        <v/>
      </c>
      <c r="Q16" s="115"/>
      <c r="R16" s="116"/>
      <c r="S16" s="117"/>
      <c r="T16" s="118"/>
      <c r="U16" s="118"/>
      <c r="V16" s="115"/>
      <c r="W16" s="115"/>
      <c r="X16" s="115"/>
      <c r="Y16" s="116"/>
      <c r="Z16" s="117"/>
      <c r="AA16" s="118"/>
      <c r="AB16" s="119"/>
      <c r="AC16" s="119"/>
      <c r="AD16" s="119"/>
      <c r="AE16" s="119"/>
      <c r="AF16" s="119"/>
      <c r="AG16" s="120"/>
      <c r="AH16" s="120"/>
    </row>
    <row r="17" spans="1:34" s="121" customFormat="1" ht="15" x14ac:dyDescent="0.25">
      <c r="A17" s="287"/>
      <c r="B17" s="112"/>
      <c r="C17" s="282"/>
      <c r="D17" s="282"/>
      <c r="E17" s="282"/>
      <c r="F17" s="282"/>
      <c r="G17" s="286"/>
      <c r="H17" s="286"/>
      <c r="I17" s="286"/>
      <c r="J17" s="113">
        <f>D16</f>
        <v>0</v>
      </c>
      <c r="K17" s="114"/>
      <c r="L17" s="114"/>
      <c r="M17" s="113" t="str">
        <f t="shared" si="0"/>
        <v/>
      </c>
      <c r="N17" s="113" t="str">
        <f t="shared" si="1"/>
        <v/>
      </c>
      <c r="O17" s="113" t="str">
        <f t="shared" si="2"/>
        <v/>
      </c>
      <c r="P17" s="113" t="str">
        <f t="shared" si="3"/>
        <v/>
      </c>
      <c r="Q17" s="115"/>
      <c r="R17" s="116"/>
      <c r="S17" s="117"/>
      <c r="T17" s="118"/>
      <c r="U17" s="118"/>
      <c r="V17" s="115"/>
      <c r="W17" s="115"/>
      <c r="X17" s="115"/>
      <c r="Y17" s="116"/>
      <c r="Z17" s="117"/>
      <c r="AA17" s="118"/>
      <c r="AB17" s="119"/>
      <c r="AC17" s="119"/>
      <c r="AD17" s="119"/>
      <c r="AE17" s="119"/>
      <c r="AF17" s="119"/>
      <c r="AG17" s="120"/>
      <c r="AH17" s="120"/>
    </row>
    <row r="18" spans="1:34" s="121" customFormat="1" ht="15" x14ac:dyDescent="0.25">
      <c r="A18" s="287"/>
      <c r="B18" s="112"/>
      <c r="C18" s="282"/>
      <c r="D18" s="282"/>
      <c r="E18" s="282"/>
      <c r="F18" s="282"/>
      <c r="G18" s="286"/>
      <c r="H18" s="286"/>
      <c r="I18" s="286"/>
      <c r="J18" s="113">
        <f>C16</f>
        <v>0</v>
      </c>
      <c r="K18" s="114"/>
      <c r="L18" s="114"/>
      <c r="M18" s="113" t="str">
        <f t="shared" si="0"/>
        <v/>
      </c>
      <c r="N18" s="113" t="str">
        <f t="shared" si="1"/>
        <v/>
      </c>
      <c r="O18" s="113" t="str">
        <f t="shared" si="2"/>
        <v/>
      </c>
      <c r="P18" s="113" t="str">
        <f t="shared" si="3"/>
        <v/>
      </c>
      <c r="Q18" s="115"/>
      <c r="R18" s="116"/>
      <c r="S18" s="117"/>
      <c r="T18" s="118"/>
      <c r="U18" s="118"/>
      <c r="V18" s="115"/>
      <c r="W18" s="115"/>
      <c r="X18" s="115"/>
      <c r="Y18" s="116"/>
      <c r="Z18" s="117"/>
      <c r="AA18" s="118"/>
      <c r="AB18" s="119"/>
      <c r="AC18" s="119"/>
      <c r="AD18" s="119"/>
      <c r="AE18" s="119"/>
      <c r="AF18" s="119"/>
      <c r="AG18" s="120"/>
      <c r="AH18" s="120"/>
    </row>
    <row r="19" spans="1:34" s="121" customFormat="1" ht="15" x14ac:dyDescent="0.25">
      <c r="A19" s="287"/>
      <c r="B19" s="112"/>
      <c r="C19" s="282"/>
      <c r="D19" s="282"/>
      <c r="E19" s="282"/>
      <c r="F19" s="282"/>
      <c r="G19" s="286"/>
      <c r="H19" s="286"/>
      <c r="I19" s="286"/>
      <c r="J19" s="113">
        <f>D16</f>
        <v>0</v>
      </c>
      <c r="K19" s="114"/>
      <c r="L19" s="114"/>
      <c r="M19" s="113" t="str">
        <f t="shared" si="0"/>
        <v/>
      </c>
      <c r="N19" s="113" t="str">
        <f t="shared" si="1"/>
        <v/>
      </c>
      <c r="O19" s="113" t="str">
        <f t="shared" si="2"/>
        <v/>
      </c>
      <c r="P19" s="113" t="str">
        <f t="shared" si="3"/>
        <v/>
      </c>
      <c r="Q19" s="115"/>
      <c r="R19" s="116"/>
      <c r="S19" s="117"/>
      <c r="T19" s="118"/>
      <c r="U19" s="118"/>
      <c r="V19" s="115"/>
      <c r="W19" s="115"/>
      <c r="X19" s="115"/>
      <c r="Y19" s="116"/>
      <c r="Z19" s="117"/>
      <c r="AA19" s="118"/>
      <c r="AB19" s="119"/>
      <c r="AC19" s="119"/>
      <c r="AD19" s="119"/>
      <c r="AE19" s="119"/>
      <c r="AF19" s="119"/>
      <c r="AG19" s="120"/>
      <c r="AH19" s="120"/>
    </row>
    <row r="20" spans="1:34" s="121" customFormat="1" ht="22.5" customHeight="1" x14ac:dyDescent="0.25">
      <c r="A20" s="287"/>
      <c r="B20" s="112"/>
      <c r="C20" s="282"/>
      <c r="D20" s="282"/>
      <c r="E20" s="282"/>
      <c r="F20" s="282"/>
      <c r="G20" s="286">
        <f>F20*D20*C20*B20</f>
        <v>0</v>
      </c>
      <c r="H20" s="286">
        <f>B20*(C20+D20)*2*E20</f>
        <v>0</v>
      </c>
      <c r="I20" s="286">
        <f>B20*C20*D20*E20</f>
        <v>0</v>
      </c>
      <c r="J20" s="113">
        <f>C20</f>
        <v>0</v>
      </c>
      <c r="K20" s="114"/>
      <c r="L20" s="114"/>
      <c r="M20" s="113" t="str">
        <f t="shared" si="0"/>
        <v/>
      </c>
      <c r="N20" s="113" t="str">
        <f t="shared" si="1"/>
        <v/>
      </c>
      <c r="O20" s="113" t="str">
        <f t="shared" si="2"/>
        <v/>
      </c>
      <c r="P20" s="113" t="str">
        <f t="shared" si="3"/>
        <v/>
      </c>
      <c r="Q20" s="115"/>
      <c r="R20" s="116"/>
      <c r="S20" s="117"/>
      <c r="T20" s="118"/>
      <c r="U20" s="118"/>
      <c r="V20" s="115"/>
      <c r="W20" s="115"/>
      <c r="X20" s="115"/>
      <c r="Y20" s="116"/>
      <c r="Z20" s="117"/>
      <c r="AA20" s="118"/>
      <c r="AB20" s="119"/>
      <c r="AC20" s="119"/>
      <c r="AD20" s="119"/>
      <c r="AE20" s="119"/>
      <c r="AF20" s="119"/>
      <c r="AG20" s="120"/>
      <c r="AH20" s="120"/>
    </row>
    <row r="21" spans="1:34" s="121" customFormat="1" ht="24.75" customHeight="1" x14ac:dyDescent="0.25">
      <c r="A21" s="287"/>
      <c r="B21" s="112"/>
      <c r="C21" s="282"/>
      <c r="D21" s="282"/>
      <c r="E21" s="282"/>
      <c r="F21" s="282"/>
      <c r="G21" s="286"/>
      <c r="H21" s="286"/>
      <c r="I21" s="286"/>
      <c r="J21" s="113">
        <f>D20</f>
        <v>0</v>
      </c>
      <c r="K21" s="114"/>
      <c r="L21" s="114"/>
      <c r="M21" s="113" t="str">
        <f t="shared" si="0"/>
        <v/>
      </c>
      <c r="N21" s="113" t="str">
        <f t="shared" si="1"/>
        <v/>
      </c>
      <c r="O21" s="113" t="str">
        <f t="shared" si="2"/>
        <v/>
      </c>
      <c r="P21" s="113" t="str">
        <f t="shared" si="3"/>
        <v/>
      </c>
      <c r="Q21" s="115"/>
      <c r="R21" s="116"/>
      <c r="S21" s="117"/>
      <c r="T21" s="118"/>
      <c r="U21" s="118"/>
      <c r="V21" s="115"/>
      <c r="W21" s="115"/>
      <c r="X21" s="115"/>
      <c r="Y21" s="116"/>
      <c r="Z21" s="117"/>
      <c r="AA21" s="118"/>
      <c r="AB21" s="119"/>
      <c r="AC21" s="119"/>
      <c r="AD21" s="119"/>
      <c r="AE21" s="119"/>
      <c r="AF21" s="119"/>
      <c r="AG21" s="120"/>
      <c r="AH21" s="120"/>
    </row>
    <row r="22" spans="1:34" s="121" customFormat="1" ht="24" customHeight="1" x14ac:dyDescent="0.25">
      <c r="A22" s="287"/>
      <c r="B22" s="112"/>
      <c r="C22" s="282"/>
      <c r="D22" s="282"/>
      <c r="E22" s="282"/>
      <c r="F22" s="282"/>
      <c r="G22" s="286"/>
      <c r="H22" s="286"/>
      <c r="I22" s="286"/>
      <c r="J22" s="113">
        <f>C20</f>
        <v>0</v>
      </c>
      <c r="K22" s="114"/>
      <c r="L22" s="114"/>
      <c r="M22" s="113" t="str">
        <f t="shared" si="0"/>
        <v/>
      </c>
      <c r="N22" s="113" t="str">
        <f t="shared" si="1"/>
        <v/>
      </c>
      <c r="O22" s="113" t="str">
        <f t="shared" si="2"/>
        <v/>
      </c>
      <c r="P22" s="113" t="str">
        <f t="shared" si="3"/>
        <v/>
      </c>
      <c r="Q22" s="115"/>
      <c r="R22" s="116"/>
      <c r="S22" s="117"/>
      <c r="T22" s="118"/>
      <c r="U22" s="118"/>
      <c r="V22" s="115"/>
      <c r="W22" s="115"/>
      <c r="X22" s="115"/>
      <c r="Y22" s="116"/>
      <c r="Z22" s="117"/>
      <c r="AA22" s="118"/>
      <c r="AB22" s="119"/>
      <c r="AC22" s="119"/>
      <c r="AD22" s="119"/>
      <c r="AE22" s="119"/>
      <c r="AF22" s="119"/>
      <c r="AG22" s="120"/>
      <c r="AH22" s="120"/>
    </row>
    <row r="23" spans="1:34" s="121" customFormat="1" ht="24" customHeight="1" x14ac:dyDescent="0.25">
      <c r="A23" s="287"/>
      <c r="B23" s="112"/>
      <c r="C23" s="282"/>
      <c r="D23" s="282"/>
      <c r="E23" s="282"/>
      <c r="F23" s="282"/>
      <c r="G23" s="286"/>
      <c r="H23" s="286"/>
      <c r="I23" s="286"/>
      <c r="J23" s="113">
        <f>D20</f>
        <v>0</v>
      </c>
      <c r="K23" s="114"/>
      <c r="L23" s="114"/>
      <c r="M23" s="113" t="str">
        <f t="shared" si="0"/>
        <v/>
      </c>
      <c r="N23" s="113" t="str">
        <f t="shared" si="1"/>
        <v/>
      </c>
      <c r="O23" s="113" t="str">
        <f t="shared" si="2"/>
        <v/>
      </c>
      <c r="P23" s="113" t="str">
        <f t="shared" si="3"/>
        <v/>
      </c>
      <c r="Q23" s="115"/>
      <c r="R23" s="116"/>
      <c r="S23" s="117"/>
      <c r="T23" s="118"/>
      <c r="U23" s="118"/>
      <c r="V23" s="115"/>
      <c r="W23" s="115"/>
      <c r="X23" s="115"/>
      <c r="Y23" s="116"/>
      <c r="Z23" s="117"/>
      <c r="AA23" s="118"/>
      <c r="AB23" s="119"/>
      <c r="AC23" s="119"/>
      <c r="AD23" s="119"/>
      <c r="AE23" s="119"/>
      <c r="AF23" s="119"/>
      <c r="AG23" s="120"/>
      <c r="AH23" s="120"/>
    </row>
    <row r="24" spans="1:34" s="121" customFormat="1" ht="15" x14ac:dyDescent="0.25">
      <c r="A24" s="287"/>
      <c r="B24" s="112"/>
      <c r="C24" s="282"/>
      <c r="D24" s="282"/>
      <c r="E24" s="282"/>
      <c r="F24" s="282"/>
      <c r="G24" s="286">
        <f>F24*D24*C24*B24</f>
        <v>0</v>
      </c>
      <c r="H24" s="286">
        <f>B24*(C24+D24)*2*E24</f>
        <v>0</v>
      </c>
      <c r="I24" s="286">
        <f>B24*C24*D24*E24</f>
        <v>0</v>
      </c>
      <c r="J24" s="113">
        <f>C24</f>
        <v>0</v>
      </c>
      <c r="K24" s="114"/>
      <c r="L24" s="114"/>
      <c r="M24" s="113" t="str">
        <f t="shared" si="0"/>
        <v/>
      </c>
      <c r="N24" s="113" t="str">
        <f t="shared" si="1"/>
        <v/>
      </c>
      <c r="O24" s="113" t="str">
        <f t="shared" si="2"/>
        <v/>
      </c>
      <c r="P24" s="113" t="str">
        <f t="shared" si="3"/>
        <v/>
      </c>
      <c r="Q24" s="115"/>
      <c r="R24" s="116"/>
      <c r="S24" s="117"/>
      <c r="T24" s="118"/>
      <c r="U24" s="118"/>
      <c r="V24" s="115"/>
      <c r="W24" s="115"/>
      <c r="X24" s="115"/>
      <c r="Y24" s="116"/>
      <c r="Z24" s="117"/>
      <c r="AA24" s="118"/>
      <c r="AB24" s="119"/>
      <c r="AC24" s="119"/>
      <c r="AD24" s="119"/>
      <c r="AE24" s="119"/>
      <c r="AF24" s="119"/>
      <c r="AG24" s="120"/>
      <c r="AH24" s="120"/>
    </row>
    <row r="25" spans="1:34" s="121" customFormat="1" ht="15" x14ac:dyDescent="0.25">
      <c r="A25" s="287"/>
      <c r="B25" s="112"/>
      <c r="C25" s="282"/>
      <c r="D25" s="282"/>
      <c r="E25" s="282"/>
      <c r="F25" s="282"/>
      <c r="G25" s="286"/>
      <c r="H25" s="286"/>
      <c r="I25" s="286"/>
      <c r="J25" s="113">
        <f>D24</f>
        <v>0</v>
      </c>
      <c r="K25" s="114"/>
      <c r="L25" s="114"/>
      <c r="M25" s="113" t="str">
        <f t="shared" si="0"/>
        <v/>
      </c>
      <c r="N25" s="113" t="str">
        <f t="shared" si="1"/>
        <v/>
      </c>
      <c r="O25" s="113" t="str">
        <f t="shared" si="2"/>
        <v/>
      </c>
      <c r="P25" s="113" t="str">
        <f t="shared" si="3"/>
        <v/>
      </c>
      <c r="Q25" s="115"/>
      <c r="R25" s="116"/>
      <c r="S25" s="117"/>
      <c r="T25" s="118"/>
      <c r="U25" s="118"/>
      <c r="V25" s="115"/>
      <c r="W25" s="115"/>
      <c r="X25" s="115"/>
      <c r="Y25" s="116"/>
      <c r="Z25" s="117"/>
      <c r="AA25" s="118"/>
      <c r="AB25" s="119"/>
      <c r="AC25" s="119"/>
      <c r="AD25" s="119"/>
      <c r="AE25" s="119"/>
      <c r="AF25" s="119"/>
      <c r="AG25" s="120"/>
      <c r="AH25" s="120"/>
    </row>
    <row r="26" spans="1:34" s="121" customFormat="1" ht="15" x14ac:dyDescent="0.25">
      <c r="A26" s="287"/>
      <c r="B26" s="112"/>
      <c r="C26" s="282"/>
      <c r="D26" s="282"/>
      <c r="E26" s="282"/>
      <c r="F26" s="282"/>
      <c r="G26" s="286"/>
      <c r="H26" s="286"/>
      <c r="I26" s="286"/>
      <c r="J26" s="113">
        <f>C24</f>
        <v>0</v>
      </c>
      <c r="K26" s="114"/>
      <c r="L26" s="114"/>
      <c r="M26" s="113" t="str">
        <f t="shared" si="0"/>
        <v/>
      </c>
      <c r="N26" s="113" t="str">
        <f t="shared" si="1"/>
        <v/>
      </c>
      <c r="O26" s="113" t="str">
        <f t="shared" si="2"/>
        <v/>
      </c>
      <c r="P26" s="113" t="str">
        <f t="shared" si="3"/>
        <v/>
      </c>
      <c r="Q26" s="115"/>
      <c r="R26" s="116"/>
      <c r="S26" s="117"/>
      <c r="T26" s="118"/>
      <c r="U26" s="118"/>
      <c r="V26" s="115"/>
      <c r="W26" s="115"/>
      <c r="X26" s="115"/>
      <c r="Y26" s="116"/>
      <c r="Z26" s="117"/>
      <c r="AA26" s="118"/>
      <c r="AB26" s="119"/>
      <c r="AC26" s="119"/>
      <c r="AD26" s="119"/>
      <c r="AE26" s="119"/>
      <c r="AF26" s="119"/>
      <c r="AG26" s="120"/>
      <c r="AH26" s="120"/>
    </row>
    <row r="27" spans="1:34" s="121" customFormat="1" ht="15" x14ac:dyDescent="0.25">
      <c r="A27" s="287"/>
      <c r="B27" s="112"/>
      <c r="C27" s="282"/>
      <c r="D27" s="282"/>
      <c r="E27" s="282"/>
      <c r="F27" s="282"/>
      <c r="G27" s="286"/>
      <c r="H27" s="286"/>
      <c r="I27" s="286"/>
      <c r="J27" s="113">
        <f>D24</f>
        <v>0</v>
      </c>
      <c r="K27" s="114"/>
      <c r="L27" s="114"/>
      <c r="M27" s="113" t="str">
        <f t="shared" si="0"/>
        <v/>
      </c>
      <c r="N27" s="113" t="str">
        <f t="shared" si="1"/>
        <v/>
      </c>
      <c r="O27" s="113" t="str">
        <f t="shared" si="2"/>
        <v/>
      </c>
      <c r="P27" s="113" t="str">
        <f t="shared" si="3"/>
        <v/>
      </c>
      <c r="Q27" s="115"/>
      <c r="R27" s="116"/>
      <c r="S27" s="117"/>
      <c r="T27" s="118"/>
      <c r="U27" s="118"/>
      <c r="V27" s="115"/>
      <c r="W27" s="115"/>
      <c r="X27" s="115"/>
      <c r="Y27" s="116"/>
      <c r="Z27" s="117"/>
      <c r="AA27" s="118"/>
      <c r="AB27" s="119"/>
      <c r="AC27" s="119"/>
      <c r="AD27" s="119"/>
      <c r="AE27" s="119"/>
      <c r="AF27" s="119"/>
      <c r="AG27" s="120"/>
      <c r="AH27" s="120"/>
    </row>
    <row r="28" spans="1:34" s="121" customFormat="1" ht="24" customHeight="1" x14ac:dyDescent="0.25">
      <c r="A28" s="287"/>
      <c r="B28" s="112"/>
      <c r="C28" s="282"/>
      <c r="D28" s="282"/>
      <c r="E28" s="282"/>
      <c r="F28" s="282"/>
      <c r="G28" s="286">
        <f>F28*D28*C28*B28</f>
        <v>0</v>
      </c>
      <c r="H28" s="286">
        <f>B28*(C28+D28)*2*E28</f>
        <v>0</v>
      </c>
      <c r="I28" s="286">
        <f>B28*C28*D28*E28</f>
        <v>0</v>
      </c>
      <c r="J28" s="113">
        <f>C28</f>
        <v>0</v>
      </c>
      <c r="K28" s="114"/>
      <c r="L28" s="114"/>
      <c r="M28" s="113" t="str">
        <f t="shared" si="0"/>
        <v/>
      </c>
      <c r="N28" s="113" t="str">
        <f t="shared" si="1"/>
        <v/>
      </c>
      <c r="O28" s="113" t="str">
        <f t="shared" si="2"/>
        <v/>
      </c>
      <c r="P28" s="113" t="str">
        <f t="shared" si="3"/>
        <v/>
      </c>
      <c r="Q28" s="115"/>
      <c r="R28" s="116"/>
      <c r="S28" s="117"/>
      <c r="T28" s="118"/>
      <c r="U28" s="118"/>
      <c r="V28" s="115"/>
      <c r="W28" s="115"/>
      <c r="X28" s="115"/>
      <c r="Y28" s="116"/>
      <c r="Z28" s="117"/>
      <c r="AA28" s="118"/>
      <c r="AB28" s="119"/>
      <c r="AC28" s="119"/>
      <c r="AD28" s="119"/>
      <c r="AE28" s="119"/>
      <c r="AF28" s="119"/>
      <c r="AG28" s="120"/>
      <c r="AH28" s="120"/>
    </row>
    <row r="29" spans="1:34" s="121" customFormat="1" ht="23.25" customHeight="1" x14ac:dyDescent="0.25">
      <c r="A29" s="287"/>
      <c r="B29" s="112"/>
      <c r="C29" s="282"/>
      <c r="D29" s="282"/>
      <c r="E29" s="282"/>
      <c r="F29" s="282"/>
      <c r="G29" s="286"/>
      <c r="H29" s="286"/>
      <c r="I29" s="286"/>
      <c r="J29" s="113">
        <f>D28</f>
        <v>0</v>
      </c>
      <c r="K29" s="114"/>
      <c r="L29" s="114"/>
      <c r="M29" s="113" t="str">
        <f t="shared" si="0"/>
        <v/>
      </c>
      <c r="N29" s="113" t="str">
        <f t="shared" si="1"/>
        <v/>
      </c>
      <c r="O29" s="113" t="str">
        <f t="shared" si="2"/>
        <v/>
      </c>
      <c r="P29" s="113" t="str">
        <f t="shared" si="3"/>
        <v/>
      </c>
      <c r="Q29" s="115"/>
      <c r="R29" s="116"/>
      <c r="S29" s="117"/>
      <c r="T29" s="118"/>
      <c r="U29" s="118"/>
      <c r="V29" s="115"/>
      <c r="W29" s="115"/>
      <c r="X29" s="115"/>
      <c r="Y29" s="116"/>
      <c r="Z29" s="117"/>
      <c r="AA29" s="118"/>
      <c r="AB29" s="119"/>
      <c r="AC29" s="119"/>
      <c r="AD29" s="119"/>
      <c r="AE29" s="119"/>
      <c r="AF29" s="119"/>
      <c r="AG29" s="120"/>
      <c r="AH29" s="120"/>
    </row>
    <row r="30" spans="1:34" s="121" customFormat="1" ht="17.25" customHeight="1" x14ac:dyDescent="0.25">
      <c r="A30" s="287"/>
      <c r="B30" s="112"/>
      <c r="C30" s="282"/>
      <c r="D30" s="282"/>
      <c r="E30" s="282"/>
      <c r="F30" s="282"/>
      <c r="G30" s="286"/>
      <c r="H30" s="286"/>
      <c r="I30" s="286"/>
      <c r="J30" s="113">
        <f>C28</f>
        <v>0</v>
      </c>
      <c r="K30" s="114"/>
      <c r="L30" s="114"/>
      <c r="M30" s="113" t="str">
        <f t="shared" si="0"/>
        <v/>
      </c>
      <c r="N30" s="113" t="str">
        <f t="shared" si="1"/>
        <v/>
      </c>
      <c r="O30" s="113" t="str">
        <f t="shared" si="2"/>
        <v/>
      </c>
      <c r="P30" s="113" t="str">
        <f t="shared" si="3"/>
        <v/>
      </c>
      <c r="Q30" s="115"/>
      <c r="R30" s="116"/>
      <c r="S30" s="117"/>
      <c r="T30" s="118"/>
      <c r="U30" s="118"/>
      <c r="V30" s="115"/>
      <c r="W30" s="115"/>
      <c r="X30" s="115"/>
      <c r="Y30" s="116"/>
      <c r="Z30" s="117"/>
      <c r="AA30" s="118"/>
      <c r="AB30" s="119"/>
      <c r="AC30" s="119"/>
      <c r="AD30" s="119"/>
      <c r="AE30" s="119"/>
      <c r="AF30" s="119"/>
      <c r="AG30" s="120"/>
      <c r="AH30" s="120"/>
    </row>
    <row r="31" spans="1:34" s="121" customFormat="1" ht="17.25" customHeight="1" x14ac:dyDescent="0.25">
      <c r="A31" s="287"/>
      <c r="B31" s="112"/>
      <c r="C31" s="282"/>
      <c r="D31" s="282"/>
      <c r="E31" s="282"/>
      <c r="F31" s="282"/>
      <c r="G31" s="286"/>
      <c r="H31" s="286"/>
      <c r="I31" s="286"/>
      <c r="J31" s="113">
        <f>D28</f>
        <v>0</v>
      </c>
      <c r="K31" s="114"/>
      <c r="L31" s="114"/>
      <c r="M31" s="113" t="str">
        <f t="shared" si="0"/>
        <v/>
      </c>
      <c r="N31" s="113" t="str">
        <f t="shared" si="1"/>
        <v/>
      </c>
      <c r="O31" s="113" t="str">
        <f t="shared" si="2"/>
        <v/>
      </c>
      <c r="P31" s="113" t="str">
        <f t="shared" si="3"/>
        <v/>
      </c>
      <c r="Q31" s="115"/>
      <c r="R31" s="116"/>
      <c r="S31" s="117"/>
      <c r="T31" s="118"/>
      <c r="U31" s="118"/>
      <c r="V31" s="115"/>
      <c r="W31" s="115"/>
      <c r="X31" s="115"/>
      <c r="Y31" s="116"/>
      <c r="Z31" s="117"/>
      <c r="AA31" s="118"/>
      <c r="AB31" s="119"/>
      <c r="AC31" s="119"/>
      <c r="AD31" s="119"/>
      <c r="AE31" s="119"/>
      <c r="AF31" s="119"/>
      <c r="AG31" s="120"/>
      <c r="AH31" s="120"/>
    </row>
    <row r="32" spans="1:34" s="121" customFormat="1" ht="15" x14ac:dyDescent="0.25">
      <c r="A32" s="287"/>
      <c r="B32" s="112"/>
      <c r="C32" s="282"/>
      <c r="D32" s="282"/>
      <c r="E32" s="282"/>
      <c r="F32" s="282"/>
      <c r="G32" s="286">
        <f>F32*D32*C32*B32</f>
        <v>0</v>
      </c>
      <c r="H32" s="286">
        <f>B32*(C32+D32)*2*E32</f>
        <v>0</v>
      </c>
      <c r="I32" s="286">
        <f>B32*C32*D32*E32</f>
        <v>0</v>
      </c>
      <c r="J32" s="113">
        <f>C32</f>
        <v>0</v>
      </c>
      <c r="K32" s="114"/>
      <c r="L32" s="114"/>
      <c r="M32" s="113" t="str">
        <f t="shared" si="0"/>
        <v/>
      </c>
      <c r="N32" s="113" t="str">
        <f t="shared" si="1"/>
        <v/>
      </c>
      <c r="O32" s="113" t="str">
        <f t="shared" si="2"/>
        <v/>
      </c>
      <c r="P32" s="113" t="str">
        <f t="shared" si="3"/>
        <v/>
      </c>
      <c r="Q32" s="115"/>
      <c r="R32" s="116"/>
      <c r="S32" s="117"/>
      <c r="T32" s="118"/>
      <c r="U32" s="118"/>
      <c r="V32" s="115"/>
      <c r="W32" s="115"/>
      <c r="X32" s="115"/>
      <c r="Y32" s="116"/>
      <c r="Z32" s="117"/>
      <c r="AA32" s="118"/>
      <c r="AB32" s="119"/>
      <c r="AC32" s="119"/>
      <c r="AD32" s="119"/>
      <c r="AE32" s="119"/>
      <c r="AF32" s="119"/>
      <c r="AG32" s="120"/>
      <c r="AH32" s="120"/>
    </row>
    <row r="33" spans="1:34" s="121" customFormat="1" ht="15" x14ac:dyDescent="0.25">
      <c r="A33" s="287"/>
      <c r="B33" s="112"/>
      <c r="C33" s="282"/>
      <c r="D33" s="282"/>
      <c r="E33" s="282"/>
      <c r="F33" s="282"/>
      <c r="G33" s="286"/>
      <c r="H33" s="286"/>
      <c r="I33" s="286"/>
      <c r="J33" s="113">
        <f>D32</f>
        <v>0</v>
      </c>
      <c r="K33" s="114"/>
      <c r="L33" s="114"/>
      <c r="M33" s="113" t="str">
        <f t="shared" si="0"/>
        <v/>
      </c>
      <c r="N33" s="113" t="str">
        <f t="shared" si="1"/>
        <v/>
      </c>
      <c r="O33" s="113" t="str">
        <f t="shared" si="2"/>
        <v/>
      </c>
      <c r="P33" s="113" t="str">
        <f t="shared" si="3"/>
        <v/>
      </c>
      <c r="Q33" s="115"/>
      <c r="R33" s="116"/>
      <c r="S33" s="117"/>
      <c r="T33" s="118"/>
      <c r="U33" s="118"/>
      <c r="V33" s="115"/>
      <c r="W33" s="115"/>
      <c r="X33" s="115"/>
      <c r="Y33" s="116"/>
      <c r="Z33" s="117"/>
      <c r="AA33" s="118"/>
      <c r="AB33" s="119"/>
      <c r="AC33" s="119"/>
      <c r="AD33" s="119"/>
      <c r="AE33" s="119"/>
      <c r="AF33" s="119"/>
      <c r="AG33" s="120"/>
      <c r="AH33" s="120"/>
    </row>
    <row r="34" spans="1:34" s="121" customFormat="1" ht="15" x14ac:dyDescent="0.25">
      <c r="A34" s="287"/>
      <c r="B34" s="112"/>
      <c r="C34" s="282"/>
      <c r="D34" s="282"/>
      <c r="E34" s="282"/>
      <c r="F34" s="282"/>
      <c r="G34" s="286"/>
      <c r="H34" s="286"/>
      <c r="I34" s="286"/>
      <c r="J34" s="113">
        <f>C32</f>
        <v>0</v>
      </c>
      <c r="K34" s="114"/>
      <c r="L34" s="114"/>
      <c r="M34" s="113" t="str">
        <f t="shared" si="0"/>
        <v/>
      </c>
      <c r="N34" s="113" t="str">
        <f t="shared" si="1"/>
        <v/>
      </c>
      <c r="O34" s="113" t="str">
        <f t="shared" si="2"/>
        <v/>
      </c>
      <c r="P34" s="113" t="str">
        <f t="shared" si="3"/>
        <v/>
      </c>
      <c r="Q34" s="115"/>
      <c r="R34" s="116"/>
      <c r="S34" s="117"/>
      <c r="T34" s="118"/>
      <c r="U34" s="118"/>
      <c r="V34" s="115"/>
      <c r="W34" s="115"/>
      <c r="X34" s="115"/>
      <c r="Y34" s="116"/>
      <c r="Z34" s="117"/>
      <c r="AA34" s="118"/>
      <c r="AB34" s="119"/>
      <c r="AC34" s="119"/>
      <c r="AD34" s="119"/>
      <c r="AE34" s="119"/>
      <c r="AF34" s="119"/>
      <c r="AG34" s="120"/>
      <c r="AH34" s="120"/>
    </row>
    <row r="35" spans="1:34" s="121" customFormat="1" ht="15" x14ac:dyDescent="0.25">
      <c r="A35" s="287"/>
      <c r="B35" s="112"/>
      <c r="C35" s="282"/>
      <c r="D35" s="282"/>
      <c r="E35" s="282"/>
      <c r="F35" s="282"/>
      <c r="G35" s="286"/>
      <c r="H35" s="286"/>
      <c r="I35" s="286"/>
      <c r="J35" s="113">
        <f>D32</f>
        <v>0</v>
      </c>
      <c r="K35" s="114"/>
      <c r="L35" s="114"/>
      <c r="M35" s="113" t="str">
        <f t="shared" si="0"/>
        <v/>
      </c>
      <c r="N35" s="113" t="str">
        <f t="shared" si="1"/>
        <v/>
      </c>
      <c r="O35" s="113" t="str">
        <f t="shared" si="2"/>
        <v/>
      </c>
      <c r="P35" s="113" t="str">
        <f t="shared" si="3"/>
        <v/>
      </c>
      <c r="Q35" s="115"/>
      <c r="R35" s="116"/>
      <c r="S35" s="117"/>
      <c r="T35" s="118"/>
      <c r="U35" s="118"/>
      <c r="V35" s="115"/>
      <c r="W35" s="115"/>
      <c r="X35" s="115"/>
      <c r="Y35" s="116"/>
      <c r="Z35" s="117"/>
      <c r="AA35" s="118"/>
      <c r="AB35" s="119"/>
      <c r="AC35" s="119"/>
      <c r="AD35" s="119"/>
      <c r="AE35" s="119"/>
      <c r="AF35" s="119"/>
      <c r="AG35" s="120"/>
      <c r="AH35" s="120"/>
    </row>
    <row r="36" spans="1:34" s="121" customFormat="1" ht="15" x14ac:dyDescent="0.25">
      <c r="A36" s="287"/>
      <c r="B36" s="112"/>
      <c r="C36" s="282"/>
      <c r="D36" s="282"/>
      <c r="E36" s="282"/>
      <c r="F36" s="282"/>
      <c r="G36" s="286">
        <f>F36*D36*C36*B36</f>
        <v>0</v>
      </c>
      <c r="H36" s="286">
        <f>B36*(C36+D36)*2*E36</f>
        <v>0</v>
      </c>
      <c r="I36" s="286">
        <f>B36*C36*D36*E36</f>
        <v>0</v>
      </c>
      <c r="J36" s="113">
        <f>C36</f>
        <v>0</v>
      </c>
      <c r="K36" s="114"/>
      <c r="L36" s="114"/>
      <c r="M36" s="113" t="str">
        <f t="shared" si="0"/>
        <v/>
      </c>
      <c r="N36" s="113" t="str">
        <f t="shared" si="1"/>
        <v/>
      </c>
      <c r="O36" s="113" t="str">
        <f t="shared" si="2"/>
        <v/>
      </c>
      <c r="P36" s="113" t="str">
        <f t="shared" si="3"/>
        <v/>
      </c>
      <c r="Q36" s="115"/>
      <c r="R36" s="116"/>
      <c r="S36" s="117"/>
      <c r="T36" s="118"/>
      <c r="U36" s="118"/>
      <c r="V36" s="115"/>
      <c r="W36" s="115"/>
      <c r="X36" s="115"/>
      <c r="Y36" s="116"/>
      <c r="Z36" s="117"/>
      <c r="AA36" s="118"/>
      <c r="AB36" s="119"/>
      <c r="AC36" s="119"/>
      <c r="AD36" s="119"/>
      <c r="AE36" s="119"/>
      <c r="AF36" s="119"/>
      <c r="AG36" s="120"/>
      <c r="AH36" s="120"/>
    </row>
    <row r="37" spans="1:34" s="121" customFormat="1" ht="15" x14ac:dyDescent="0.25">
      <c r="A37" s="287"/>
      <c r="B37" s="112"/>
      <c r="C37" s="282"/>
      <c r="D37" s="282"/>
      <c r="E37" s="282"/>
      <c r="F37" s="282"/>
      <c r="G37" s="286"/>
      <c r="H37" s="286"/>
      <c r="I37" s="286"/>
      <c r="J37" s="113">
        <f>D36</f>
        <v>0</v>
      </c>
      <c r="K37" s="114"/>
      <c r="L37" s="114"/>
      <c r="M37" s="113" t="str">
        <f t="shared" si="0"/>
        <v/>
      </c>
      <c r="N37" s="113" t="str">
        <f t="shared" si="1"/>
        <v/>
      </c>
      <c r="O37" s="113" t="str">
        <f t="shared" si="2"/>
        <v/>
      </c>
      <c r="P37" s="113" t="str">
        <f t="shared" si="3"/>
        <v/>
      </c>
      <c r="Q37" s="115"/>
      <c r="R37" s="116"/>
      <c r="S37" s="117"/>
      <c r="T37" s="118"/>
      <c r="U37" s="118"/>
      <c r="V37" s="115"/>
      <c r="W37" s="115"/>
      <c r="X37" s="115"/>
      <c r="Y37" s="116"/>
      <c r="Z37" s="117"/>
      <c r="AA37" s="118"/>
      <c r="AB37" s="119"/>
      <c r="AC37" s="119"/>
      <c r="AD37" s="119"/>
      <c r="AE37" s="119"/>
      <c r="AF37" s="119"/>
      <c r="AG37" s="120"/>
      <c r="AH37" s="120"/>
    </row>
    <row r="38" spans="1:34" s="121" customFormat="1" ht="15" x14ac:dyDescent="0.25">
      <c r="A38" s="287"/>
      <c r="B38" s="112"/>
      <c r="C38" s="282"/>
      <c r="D38" s="282"/>
      <c r="E38" s="282"/>
      <c r="F38" s="282"/>
      <c r="G38" s="286"/>
      <c r="H38" s="286"/>
      <c r="I38" s="286"/>
      <c r="J38" s="113">
        <f>C36</f>
        <v>0</v>
      </c>
      <c r="K38" s="114"/>
      <c r="L38" s="114"/>
      <c r="M38" s="113" t="str">
        <f t="shared" si="0"/>
        <v/>
      </c>
      <c r="N38" s="113" t="str">
        <f t="shared" si="1"/>
        <v/>
      </c>
      <c r="O38" s="113" t="str">
        <f t="shared" si="2"/>
        <v/>
      </c>
      <c r="P38" s="113" t="str">
        <f t="shared" si="3"/>
        <v/>
      </c>
      <c r="Q38" s="115"/>
      <c r="R38" s="116"/>
      <c r="S38" s="117"/>
      <c r="T38" s="118"/>
      <c r="U38" s="118"/>
      <c r="V38" s="115"/>
      <c r="W38" s="115"/>
      <c r="X38" s="115"/>
      <c r="Y38" s="116"/>
      <c r="Z38" s="117"/>
      <c r="AA38" s="118"/>
      <c r="AB38" s="119"/>
      <c r="AC38" s="119"/>
      <c r="AD38" s="119"/>
      <c r="AE38" s="119"/>
      <c r="AF38" s="119"/>
      <c r="AG38" s="120"/>
      <c r="AH38" s="120"/>
    </row>
    <row r="39" spans="1:34" s="121" customFormat="1" ht="15" x14ac:dyDescent="0.25">
      <c r="A39" s="287"/>
      <c r="B39" s="112"/>
      <c r="C39" s="282"/>
      <c r="D39" s="282"/>
      <c r="E39" s="282"/>
      <c r="F39" s="282"/>
      <c r="G39" s="286"/>
      <c r="H39" s="286"/>
      <c r="I39" s="286"/>
      <c r="J39" s="113">
        <f>D36</f>
        <v>0</v>
      </c>
      <c r="K39" s="114"/>
      <c r="L39" s="114"/>
      <c r="M39" s="113" t="str">
        <f t="shared" si="0"/>
        <v/>
      </c>
      <c r="N39" s="113" t="str">
        <f t="shared" si="1"/>
        <v/>
      </c>
      <c r="O39" s="113" t="str">
        <f t="shared" si="2"/>
        <v/>
      </c>
      <c r="P39" s="113" t="str">
        <f t="shared" si="3"/>
        <v/>
      </c>
      <c r="Q39" s="115"/>
      <c r="R39" s="116"/>
      <c r="S39" s="117"/>
      <c r="T39" s="118"/>
      <c r="U39" s="118"/>
      <c r="V39" s="115"/>
      <c r="W39" s="115"/>
      <c r="X39" s="115"/>
      <c r="Y39" s="116"/>
      <c r="Z39" s="117"/>
      <c r="AA39" s="118"/>
      <c r="AB39" s="119"/>
      <c r="AC39" s="119"/>
      <c r="AD39" s="119"/>
      <c r="AE39" s="119"/>
      <c r="AF39" s="119"/>
      <c r="AG39" s="120"/>
      <c r="AH39" s="120"/>
    </row>
    <row r="40" spans="1:34" s="121" customFormat="1" ht="18" customHeight="1" x14ac:dyDescent="0.25">
      <c r="A40" s="287"/>
      <c r="B40" s="112"/>
      <c r="C40" s="282"/>
      <c r="D40" s="282"/>
      <c r="E40" s="282"/>
      <c r="F40" s="282"/>
      <c r="G40" s="286">
        <f>F40*D40*C40*B40</f>
        <v>0</v>
      </c>
      <c r="H40" s="286">
        <f>B40*(C40+D40)*2*E40</f>
        <v>0</v>
      </c>
      <c r="I40" s="286">
        <f>B40*C40*D40*E40</f>
        <v>0</v>
      </c>
      <c r="J40" s="113">
        <f>C40</f>
        <v>0</v>
      </c>
      <c r="K40" s="114"/>
      <c r="L40" s="114"/>
      <c r="M40" s="113" t="str">
        <f t="shared" si="0"/>
        <v/>
      </c>
      <c r="N40" s="113" t="str">
        <f t="shared" si="1"/>
        <v/>
      </c>
      <c r="O40" s="113" t="str">
        <f t="shared" si="2"/>
        <v/>
      </c>
      <c r="P40" s="113" t="str">
        <f t="shared" si="3"/>
        <v/>
      </c>
      <c r="Q40" s="115"/>
      <c r="R40" s="116"/>
      <c r="S40" s="117"/>
      <c r="T40" s="118"/>
      <c r="U40" s="118"/>
      <c r="V40" s="115"/>
      <c r="W40" s="115"/>
      <c r="X40" s="115"/>
      <c r="Y40" s="116"/>
      <c r="Z40" s="117"/>
      <c r="AA40" s="118"/>
      <c r="AB40" s="119"/>
      <c r="AC40" s="119"/>
      <c r="AD40" s="119"/>
      <c r="AE40" s="119"/>
      <c r="AF40" s="119"/>
      <c r="AG40" s="120"/>
      <c r="AH40" s="120"/>
    </row>
    <row r="41" spans="1:34" s="121" customFormat="1" ht="21" customHeight="1" x14ac:dyDescent="0.25">
      <c r="A41" s="287"/>
      <c r="B41" s="112"/>
      <c r="C41" s="282"/>
      <c r="D41" s="282"/>
      <c r="E41" s="282"/>
      <c r="F41" s="282"/>
      <c r="G41" s="286"/>
      <c r="H41" s="286"/>
      <c r="I41" s="286"/>
      <c r="J41" s="113">
        <f>D40</f>
        <v>0</v>
      </c>
      <c r="K41" s="114"/>
      <c r="L41" s="114"/>
      <c r="M41" s="113" t="str">
        <f t="shared" si="0"/>
        <v/>
      </c>
      <c r="N41" s="113" t="str">
        <f t="shared" si="1"/>
        <v/>
      </c>
      <c r="O41" s="113" t="str">
        <f t="shared" si="2"/>
        <v/>
      </c>
      <c r="P41" s="113" t="str">
        <f t="shared" si="3"/>
        <v/>
      </c>
      <c r="Q41" s="115"/>
      <c r="R41" s="116"/>
      <c r="S41" s="117"/>
      <c r="T41" s="118"/>
      <c r="U41" s="118"/>
      <c r="V41" s="115"/>
      <c r="W41" s="115"/>
      <c r="X41" s="115"/>
      <c r="Y41" s="116"/>
      <c r="Z41" s="117"/>
      <c r="AA41" s="118"/>
      <c r="AB41" s="119"/>
      <c r="AC41" s="119"/>
      <c r="AD41" s="119"/>
      <c r="AE41" s="119"/>
      <c r="AF41" s="119"/>
      <c r="AG41" s="120"/>
      <c r="AH41" s="120"/>
    </row>
    <row r="42" spans="1:34" s="121" customFormat="1" ht="18" customHeight="1" x14ac:dyDescent="0.25">
      <c r="A42" s="287"/>
      <c r="B42" s="112"/>
      <c r="C42" s="282"/>
      <c r="D42" s="282"/>
      <c r="E42" s="282"/>
      <c r="F42" s="282"/>
      <c r="G42" s="286"/>
      <c r="H42" s="286"/>
      <c r="I42" s="286"/>
      <c r="J42" s="113">
        <f>C40</f>
        <v>0</v>
      </c>
      <c r="K42" s="114"/>
      <c r="L42" s="114"/>
      <c r="M42" s="113" t="str">
        <f t="shared" si="0"/>
        <v/>
      </c>
      <c r="N42" s="113" t="str">
        <f t="shared" si="1"/>
        <v/>
      </c>
      <c r="O42" s="113" t="str">
        <f t="shared" si="2"/>
        <v/>
      </c>
      <c r="P42" s="113" t="str">
        <f t="shared" si="3"/>
        <v/>
      </c>
      <c r="Q42" s="115"/>
      <c r="R42" s="116"/>
      <c r="S42" s="117"/>
      <c r="T42" s="118"/>
      <c r="U42" s="118"/>
      <c r="V42" s="115"/>
      <c r="W42" s="115"/>
      <c r="X42" s="115"/>
      <c r="Y42" s="116"/>
      <c r="Z42" s="117"/>
      <c r="AA42" s="118"/>
      <c r="AB42" s="119"/>
      <c r="AC42" s="119"/>
      <c r="AD42" s="119"/>
      <c r="AE42" s="119"/>
      <c r="AF42" s="119"/>
      <c r="AG42" s="120"/>
      <c r="AH42" s="120"/>
    </row>
    <row r="43" spans="1:34" s="121" customFormat="1" ht="16.5" customHeight="1" x14ac:dyDescent="0.25">
      <c r="A43" s="287"/>
      <c r="B43" s="112"/>
      <c r="C43" s="282"/>
      <c r="D43" s="282"/>
      <c r="E43" s="282"/>
      <c r="F43" s="282"/>
      <c r="G43" s="286"/>
      <c r="H43" s="286"/>
      <c r="I43" s="286"/>
      <c r="J43" s="113">
        <f>D40</f>
        <v>0</v>
      </c>
      <c r="K43" s="114"/>
      <c r="L43" s="114"/>
      <c r="M43" s="113" t="str">
        <f t="shared" si="0"/>
        <v/>
      </c>
      <c r="N43" s="113" t="str">
        <f t="shared" si="1"/>
        <v/>
      </c>
      <c r="O43" s="113" t="str">
        <f t="shared" si="2"/>
        <v/>
      </c>
      <c r="P43" s="113" t="str">
        <f t="shared" si="3"/>
        <v/>
      </c>
      <c r="Q43" s="115"/>
      <c r="R43" s="116"/>
      <c r="S43" s="117"/>
      <c r="T43" s="118"/>
      <c r="U43" s="118"/>
      <c r="V43" s="115"/>
      <c r="W43" s="115"/>
      <c r="X43" s="115"/>
      <c r="Y43" s="116"/>
      <c r="Z43" s="117"/>
      <c r="AA43" s="118"/>
      <c r="AB43" s="119"/>
      <c r="AC43" s="119"/>
      <c r="AD43" s="119"/>
      <c r="AE43" s="119"/>
      <c r="AF43" s="119"/>
      <c r="AG43" s="120"/>
      <c r="AH43" s="120"/>
    </row>
    <row r="44" spans="1:34" s="121" customFormat="1" ht="15" x14ac:dyDescent="0.25">
      <c r="A44" s="280"/>
      <c r="B44" s="122"/>
      <c r="C44" s="281"/>
      <c r="D44" s="281"/>
      <c r="E44" s="281"/>
      <c r="F44" s="282"/>
      <c r="G44" s="283">
        <f>F44*D44*C44*B44</f>
        <v>0</v>
      </c>
      <c r="H44" s="279">
        <f>B44*(C44+D44)*2*E44</f>
        <v>0</v>
      </c>
      <c r="I44" s="279">
        <f>B44*C44*D44*E44</f>
        <v>0</v>
      </c>
      <c r="J44" s="113">
        <f>C44</f>
        <v>0</v>
      </c>
      <c r="K44" s="124"/>
      <c r="L44" s="124"/>
      <c r="M44" s="113" t="str">
        <f t="shared" si="0"/>
        <v/>
      </c>
      <c r="N44" s="113" t="str">
        <f t="shared" si="1"/>
        <v/>
      </c>
      <c r="O44" s="113" t="str">
        <f t="shared" si="2"/>
        <v/>
      </c>
      <c r="P44" s="113" t="str">
        <f t="shared" si="3"/>
        <v/>
      </c>
      <c r="Q44" s="115"/>
      <c r="R44" s="116"/>
      <c r="S44" s="117"/>
      <c r="T44" s="118"/>
      <c r="U44" s="118"/>
      <c r="V44" s="115"/>
      <c r="W44" s="115"/>
      <c r="X44" s="115"/>
      <c r="Y44" s="116"/>
      <c r="Z44" s="117"/>
      <c r="AA44" s="118"/>
      <c r="AB44" s="119"/>
      <c r="AC44" s="119"/>
      <c r="AD44" s="119"/>
      <c r="AE44" s="119"/>
      <c r="AF44" s="119"/>
      <c r="AG44" s="120"/>
      <c r="AH44" s="120"/>
    </row>
    <row r="45" spans="1:34" s="121" customFormat="1" ht="15" x14ac:dyDescent="0.25">
      <c r="A45" s="280"/>
      <c r="B45" s="122"/>
      <c r="C45" s="281"/>
      <c r="D45" s="281"/>
      <c r="E45" s="281"/>
      <c r="F45" s="282"/>
      <c r="G45" s="284"/>
      <c r="H45" s="279"/>
      <c r="I45" s="279"/>
      <c r="J45" s="113">
        <f>D44</f>
        <v>0</v>
      </c>
      <c r="K45" s="124"/>
      <c r="L45" s="124"/>
      <c r="M45" s="113" t="str">
        <f t="shared" si="0"/>
        <v/>
      </c>
      <c r="N45" s="113" t="str">
        <f t="shared" si="1"/>
        <v/>
      </c>
      <c r="O45" s="113" t="str">
        <f t="shared" si="2"/>
        <v/>
      </c>
      <c r="P45" s="113" t="str">
        <f t="shared" si="3"/>
        <v/>
      </c>
      <c r="Q45" s="115"/>
      <c r="R45" s="116"/>
      <c r="S45" s="117"/>
      <c r="T45" s="118"/>
      <c r="U45" s="118"/>
      <c r="V45" s="115"/>
      <c r="W45" s="115"/>
      <c r="X45" s="115"/>
      <c r="Y45" s="116"/>
      <c r="Z45" s="117"/>
      <c r="AA45" s="118"/>
      <c r="AB45" s="119"/>
      <c r="AC45" s="119"/>
      <c r="AD45" s="119"/>
      <c r="AE45" s="119"/>
      <c r="AF45" s="119"/>
      <c r="AG45" s="120"/>
      <c r="AH45" s="120"/>
    </row>
    <row r="46" spans="1:34" s="121" customFormat="1" ht="15" x14ac:dyDescent="0.25">
      <c r="A46" s="280"/>
      <c r="B46" s="122"/>
      <c r="C46" s="281"/>
      <c r="D46" s="281"/>
      <c r="E46" s="281"/>
      <c r="F46" s="282"/>
      <c r="G46" s="284"/>
      <c r="H46" s="279"/>
      <c r="I46" s="279"/>
      <c r="J46" s="113">
        <f>C44</f>
        <v>0</v>
      </c>
      <c r="K46" s="124"/>
      <c r="L46" s="124"/>
      <c r="M46" s="113" t="str">
        <f t="shared" si="0"/>
        <v/>
      </c>
      <c r="N46" s="113" t="str">
        <f t="shared" si="1"/>
        <v/>
      </c>
      <c r="O46" s="113" t="str">
        <f t="shared" si="2"/>
        <v/>
      </c>
      <c r="P46" s="113" t="str">
        <f t="shared" si="3"/>
        <v/>
      </c>
      <c r="Q46" s="115"/>
      <c r="R46" s="116"/>
      <c r="S46" s="117"/>
      <c r="T46" s="118"/>
      <c r="U46" s="118"/>
      <c r="V46" s="115"/>
      <c r="W46" s="115"/>
      <c r="X46" s="115"/>
      <c r="Y46" s="116"/>
      <c r="Z46" s="117"/>
      <c r="AA46" s="118"/>
      <c r="AB46" s="119"/>
      <c r="AC46" s="119"/>
      <c r="AD46" s="119"/>
      <c r="AE46" s="119"/>
      <c r="AF46" s="119"/>
      <c r="AG46" s="120"/>
      <c r="AH46" s="120"/>
    </row>
    <row r="47" spans="1:34" s="121" customFormat="1" ht="15" x14ac:dyDescent="0.25">
      <c r="A47" s="280"/>
      <c r="B47" s="122"/>
      <c r="C47" s="281"/>
      <c r="D47" s="281"/>
      <c r="E47" s="281"/>
      <c r="F47" s="282"/>
      <c r="G47" s="285"/>
      <c r="H47" s="279"/>
      <c r="I47" s="279"/>
      <c r="J47" s="113">
        <f>D44</f>
        <v>0</v>
      </c>
      <c r="K47" s="124"/>
      <c r="L47" s="124"/>
      <c r="M47" s="113" t="str">
        <f t="shared" si="0"/>
        <v/>
      </c>
      <c r="N47" s="113" t="str">
        <f t="shared" si="1"/>
        <v/>
      </c>
      <c r="O47" s="113" t="str">
        <f t="shared" si="2"/>
        <v/>
      </c>
      <c r="P47" s="113" t="str">
        <f t="shared" si="3"/>
        <v/>
      </c>
      <c r="Q47" s="115"/>
      <c r="R47" s="116"/>
      <c r="S47" s="117"/>
      <c r="T47" s="118"/>
      <c r="U47" s="118"/>
      <c r="V47" s="115"/>
      <c r="W47" s="115"/>
      <c r="X47" s="115"/>
      <c r="Y47" s="116"/>
      <c r="Z47" s="117"/>
      <c r="AA47" s="118"/>
      <c r="AB47" s="119"/>
      <c r="AC47" s="119"/>
      <c r="AD47" s="119"/>
      <c r="AE47" s="119"/>
      <c r="AF47" s="119"/>
      <c r="AG47" s="120"/>
      <c r="AH47" s="120"/>
    </row>
    <row r="48" spans="1:34" ht="15.75" x14ac:dyDescent="0.25">
      <c r="A48" s="125"/>
      <c r="B48" s="126">
        <f>B4+B8+B12+B16+B20+B24+B28+B32+B36+B40+B44</f>
        <v>0</v>
      </c>
      <c r="C48" s="110"/>
      <c r="D48" s="110"/>
      <c r="E48" s="110"/>
      <c r="F48" s="110"/>
      <c r="G48" s="127">
        <f>SUM(G4:G47)</f>
        <v>0</v>
      </c>
      <c r="H48" s="127">
        <f>SUM(H4:H47)</f>
        <v>0</v>
      </c>
      <c r="I48" s="127">
        <f>SUM(I4:I47)</f>
        <v>0</v>
      </c>
      <c r="J48" s="128"/>
      <c r="K48" s="129"/>
      <c r="L48" s="128"/>
      <c r="M48" s="127">
        <f>SUM(M4:M47)</f>
        <v>0</v>
      </c>
      <c r="N48" s="127">
        <f>SUM(N4:N47)</f>
        <v>0</v>
      </c>
      <c r="O48" s="127">
        <f>SUM(O4:O47)</f>
        <v>0</v>
      </c>
      <c r="P48" s="127">
        <f>SUM(P4:P47)</f>
        <v>0</v>
      </c>
      <c r="Q48" s="109"/>
      <c r="R48" s="106"/>
      <c r="S48" s="107"/>
      <c r="T48" s="108"/>
      <c r="U48" s="108"/>
      <c r="V48" s="109"/>
      <c r="W48" s="109"/>
      <c r="X48" s="109"/>
      <c r="Y48" s="106"/>
      <c r="Z48" s="107"/>
      <c r="AA48" s="108"/>
      <c r="AB48" s="110"/>
      <c r="AC48" s="110"/>
      <c r="AD48" s="110"/>
      <c r="AE48" s="110"/>
      <c r="AF48" s="110"/>
      <c r="AG48" s="111"/>
      <c r="AH48" s="111"/>
    </row>
    <row r="49" spans="1:34" ht="15.75" x14ac:dyDescent="0.25">
      <c r="A49" s="130"/>
      <c r="B49" s="131"/>
      <c r="C49" s="131"/>
      <c r="D49" s="131"/>
      <c r="E49" s="131"/>
      <c r="F49" s="131"/>
      <c r="G49" s="132"/>
      <c r="H49" s="132"/>
      <c r="I49" s="133" t="s">
        <v>197</v>
      </c>
      <c r="J49" s="134"/>
      <c r="K49" s="135"/>
      <c r="L49" s="136"/>
      <c r="M49" s="109"/>
      <c r="N49" s="109"/>
      <c r="O49" s="109"/>
      <c r="P49" s="109"/>
      <c r="Q49" s="109"/>
      <c r="R49" s="106"/>
      <c r="S49" s="107"/>
      <c r="T49" s="108"/>
      <c r="U49" s="108"/>
      <c r="V49" s="109"/>
      <c r="W49" s="109"/>
      <c r="X49" s="109"/>
      <c r="Y49" s="106"/>
      <c r="Z49" s="107"/>
      <c r="AA49" s="108"/>
      <c r="AB49" s="110"/>
      <c r="AC49" s="110"/>
      <c r="AD49" s="110"/>
      <c r="AE49" s="110"/>
      <c r="AF49" s="110"/>
      <c r="AG49" s="111"/>
      <c r="AH49" s="111"/>
    </row>
    <row r="50" spans="1:34" x14ac:dyDescent="0.2">
      <c r="A50" s="137"/>
      <c r="H50" s="138"/>
      <c r="I50" s="138"/>
      <c r="J50" s="138"/>
      <c r="K50" s="138"/>
      <c r="Q50" s="139"/>
      <c r="R50" s="139"/>
      <c r="S50" s="139"/>
      <c r="T50" s="139"/>
      <c r="U50" s="140"/>
      <c r="W50" s="141"/>
      <c r="X50" s="141"/>
      <c r="Y50" s="142"/>
    </row>
    <row r="51" spans="1:34" x14ac:dyDescent="0.2">
      <c r="A51" s="137"/>
      <c r="H51" s="138"/>
      <c r="I51" s="138"/>
      <c r="J51" s="138"/>
      <c r="K51" s="138"/>
      <c r="Q51" s="139"/>
      <c r="R51" s="139"/>
      <c r="S51" s="139"/>
      <c r="T51" s="139"/>
      <c r="U51" s="140"/>
      <c r="W51" s="141"/>
      <c r="X51" s="141"/>
      <c r="Y51" s="142"/>
    </row>
    <row r="52" spans="1:34" x14ac:dyDescent="0.2">
      <c r="A52" s="137"/>
      <c r="H52" s="143"/>
      <c r="I52" s="143"/>
      <c r="J52" s="143"/>
      <c r="K52" s="143"/>
      <c r="L52" s="143"/>
      <c r="M52" s="143"/>
      <c r="N52" s="143"/>
      <c r="O52" s="143"/>
      <c r="P52" s="143"/>
      <c r="Q52" s="144"/>
      <c r="R52" s="144"/>
      <c r="S52" s="144"/>
      <c r="T52" s="144"/>
      <c r="U52" s="145"/>
      <c r="V52" s="143"/>
      <c r="W52" s="146"/>
      <c r="X52" s="146"/>
      <c r="Y52" s="143"/>
      <c r="Z52" s="143"/>
    </row>
    <row r="53" spans="1:34" x14ac:dyDescent="0.2">
      <c r="A53" s="137"/>
      <c r="H53" s="138"/>
      <c r="I53" s="138"/>
      <c r="J53" s="138"/>
      <c r="K53" s="138"/>
      <c r="Q53" s="139"/>
      <c r="R53" s="139"/>
      <c r="S53" s="139"/>
      <c r="T53" s="139"/>
      <c r="U53" s="140"/>
      <c r="W53" s="141"/>
      <c r="X53" s="141"/>
    </row>
    <row r="54" spans="1:34" x14ac:dyDescent="0.2">
      <c r="A54" s="137"/>
      <c r="H54" s="138"/>
      <c r="I54" s="138"/>
      <c r="J54" s="138"/>
      <c r="K54" s="138"/>
      <c r="Q54" s="139"/>
      <c r="R54" s="139"/>
      <c r="S54" s="139"/>
      <c r="T54" s="139"/>
      <c r="U54" s="140"/>
      <c r="W54" s="141"/>
      <c r="X54" s="141"/>
    </row>
    <row r="55" spans="1:34" x14ac:dyDescent="0.2">
      <c r="A55" s="147"/>
      <c r="C55" s="111"/>
      <c r="D55" s="111"/>
      <c r="E55" s="111"/>
      <c r="F55" s="111"/>
      <c r="G55" s="111"/>
      <c r="H55" s="148"/>
      <c r="I55" s="148"/>
      <c r="J55" s="148"/>
      <c r="K55" s="148"/>
      <c r="L55" s="111"/>
      <c r="M55" s="111"/>
      <c r="N55" s="111"/>
      <c r="O55" s="111"/>
      <c r="P55" s="111"/>
      <c r="Q55" s="148"/>
      <c r="R55" s="148"/>
      <c r="S55" s="148"/>
      <c r="T55" s="148"/>
      <c r="U55" s="111"/>
      <c r="V55" s="111"/>
      <c r="W55" s="148"/>
      <c r="X55" s="148"/>
    </row>
    <row r="56" spans="1:34" x14ac:dyDescent="0.2">
      <c r="A56" s="147"/>
      <c r="C56" s="111"/>
      <c r="D56" s="111"/>
      <c r="E56" s="111"/>
      <c r="F56" s="111"/>
      <c r="G56" s="111"/>
      <c r="H56" s="148"/>
      <c r="I56" s="148"/>
      <c r="J56" s="148"/>
      <c r="K56" s="148"/>
      <c r="L56" s="111"/>
      <c r="M56" s="111"/>
      <c r="N56" s="111"/>
      <c r="O56" s="111"/>
      <c r="P56" s="111"/>
      <c r="Q56" s="148"/>
      <c r="R56" s="148"/>
      <c r="S56" s="148"/>
      <c r="T56" s="148"/>
      <c r="U56" s="111"/>
      <c r="V56" s="111"/>
      <c r="W56" s="148"/>
      <c r="X56" s="148"/>
    </row>
    <row r="57" spans="1:34" x14ac:dyDescent="0.2">
      <c r="A57" s="147"/>
      <c r="H57" s="138"/>
      <c r="I57" s="138"/>
      <c r="J57" s="138"/>
      <c r="K57" s="138"/>
      <c r="Q57" s="139"/>
      <c r="R57" s="139"/>
      <c r="S57" s="139"/>
      <c r="T57" s="139"/>
      <c r="U57" s="140"/>
      <c r="W57" s="141"/>
      <c r="X57" s="141"/>
    </row>
    <row r="58" spans="1:34" x14ac:dyDescent="0.2">
      <c r="A58" s="147"/>
      <c r="H58" s="138"/>
      <c r="I58" s="138"/>
      <c r="J58" s="138"/>
      <c r="K58" s="138"/>
      <c r="Q58" s="139"/>
      <c r="R58" s="139"/>
      <c r="S58" s="139"/>
      <c r="T58" s="139"/>
      <c r="U58" s="140"/>
      <c r="W58" s="141"/>
      <c r="X58" s="141"/>
    </row>
    <row r="59" spans="1:34" x14ac:dyDescent="0.2">
      <c r="A59" s="147"/>
      <c r="H59" s="138"/>
      <c r="I59" s="138"/>
      <c r="J59" s="138"/>
      <c r="K59" s="138"/>
      <c r="Q59" s="139"/>
      <c r="R59" s="139"/>
      <c r="S59" s="139"/>
      <c r="T59" s="139"/>
      <c r="U59" s="140"/>
      <c r="W59" s="141"/>
      <c r="X59" s="141"/>
    </row>
    <row r="60" spans="1:34" x14ac:dyDescent="0.2">
      <c r="A60" s="147"/>
      <c r="H60" s="138"/>
      <c r="I60" s="138"/>
      <c r="J60" s="138"/>
      <c r="K60" s="138"/>
      <c r="Q60" s="139"/>
      <c r="R60" s="139"/>
      <c r="S60" s="139"/>
      <c r="T60" s="139"/>
      <c r="U60" s="140"/>
      <c r="W60" s="141"/>
      <c r="X60" s="141"/>
    </row>
    <row r="61" spans="1:34" x14ac:dyDescent="0.2">
      <c r="A61" s="147"/>
      <c r="H61" s="138"/>
      <c r="I61" s="138"/>
      <c r="J61" s="138"/>
      <c r="K61" s="138"/>
      <c r="Q61" s="139"/>
      <c r="R61" s="139"/>
      <c r="S61" s="139"/>
      <c r="T61" s="139"/>
      <c r="U61" s="140"/>
      <c r="W61" s="141"/>
      <c r="X61" s="141"/>
    </row>
    <row r="62" spans="1:34" x14ac:dyDescent="0.2">
      <c r="A62" s="137"/>
      <c r="H62" s="138"/>
      <c r="I62" s="138"/>
      <c r="J62" s="138"/>
      <c r="K62" s="138"/>
      <c r="Q62" s="139"/>
      <c r="R62" s="139"/>
      <c r="S62" s="139"/>
      <c r="T62" s="139"/>
      <c r="U62" s="140"/>
      <c r="W62" s="141"/>
      <c r="X62" s="141"/>
    </row>
    <row r="63" spans="1:34" x14ac:dyDescent="0.2">
      <c r="H63" s="138"/>
      <c r="I63" s="138"/>
      <c r="J63" s="138"/>
      <c r="K63" s="138"/>
      <c r="Q63" s="139"/>
      <c r="R63" s="139"/>
      <c r="S63" s="139"/>
      <c r="T63" s="139"/>
      <c r="U63" s="140"/>
      <c r="W63" s="141"/>
      <c r="X63" s="141"/>
    </row>
    <row r="64" spans="1:34" x14ac:dyDescent="0.2">
      <c r="A64" s="137"/>
      <c r="H64" s="138"/>
      <c r="I64" s="138"/>
      <c r="J64" s="138"/>
      <c r="K64" s="138"/>
      <c r="Q64" s="139"/>
      <c r="R64" s="139"/>
      <c r="S64" s="139"/>
      <c r="T64" s="139"/>
      <c r="U64" s="140"/>
      <c r="W64" s="141"/>
      <c r="X64" s="141"/>
    </row>
    <row r="65" spans="1:24" x14ac:dyDescent="0.2">
      <c r="A65" s="147"/>
      <c r="H65" s="138"/>
      <c r="I65" s="138"/>
      <c r="J65" s="138"/>
      <c r="K65" s="138"/>
      <c r="Q65" s="139"/>
      <c r="R65" s="139"/>
      <c r="S65" s="139"/>
      <c r="T65" s="139"/>
      <c r="U65" s="140"/>
      <c r="W65" s="141"/>
      <c r="X65" s="141"/>
    </row>
    <row r="66" spans="1:24" x14ac:dyDescent="0.2">
      <c r="A66" s="147"/>
      <c r="C66" s="111"/>
      <c r="D66" s="111"/>
      <c r="E66" s="111"/>
      <c r="F66" s="111"/>
      <c r="G66" s="111"/>
      <c r="H66" s="148"/>
      <c r="I66" s="148"/>
      <c r="J66" s="148"/>
      <c r="K66" s="148"/>
      <c r="L66" s="111"/>
      <c r="M66" s="111"/>
      <c r="N66" s="148"/>
      <c r="O66" s="111"/>
      <c r="P66" s="148"/>
      <c r="Q66" s="139"/>
      <c r="R66" s="139"/>
      <c r="S66" s="139"/>
      <c r="T66" s="139"/>
      <c r="U66" s="140"/>
      <c r="W66" s="141"/>
      <c r="X66" s="141"/>
    </row>
    <row r="67" spans="1:24" x14ac:dyDescent="0.2">
      <c r="A67" s="147"/>
      <c r="C67" s="111"/>
      <c r="D67" s="111"/>
      <c r="E67" s="111"/>
      <c r="F67" s="111"/>
      <c r="G67" s="111"/>
      <c r="H67" s="148"/>
      <c r="I67" s="148"/>
      <c r="J67" s="148"/>
      <c r="K67" s="148"/>
      <c r="L67" s="111"/>
      <c r="M67" s="111"/>
      <c r="N67" s="148"/>
      <c r="O67" s="111"/>
      <c r="P67" s="148"/>
      <c r="Q67" s="139"/>
      <c r="R67" s="139"/>
      <c r="S67" s="139"/>
      <c r="T67" s="139"/>
      <c r="U67" s="140"/>
      <c r="W67" s="141"/>
      <c r="X67" s="141"/>
    </row>
    <row r="68" spans="1:24" x14ac:dyDescent="0.2">
      <c r="A68" s="147"/>
      <c r="H68" s="138"/>
      <c r="I68" s="138"/>
      <c r="J68" s="138"/>
      <c r="K68" s="138"/>
      <c r="M68" s="140"/>
      <c r="N68" s="141"/>
      <c r="O68" s="140"/>
      <c r="P68" s="141"/>
      <c r="Q68" s="139"/>
      <c r="R68" s="139"/>
      <c r="S68" s="139"/>
      <c r="T68" s="139"/>
      <c r="U68" s="140"/>
      <c r="W68" s="141"/>
      <c r="X68" s="141"/>
    </row>
    <row r="69" spans="1:24" x14ac:dyDescent="0.2">
      <c r="A69" s="147"/>
      <c r="H69" s="138"/>
      <c r="I69" s="138"/>
      <c r="J69" s="138"/>
      <c r="K69" s="138"/>
      <c r="Q69" s="139"/>
      <c r="R69" s="139"/>
      <c r="S69" s="139"/>
      <c r="T69" s="139"/>
      <c r="U69" s="140"/>
      <c r="W69" s="141"/>
      <c r="X69" s="141"/>
    </row>
    <row r="70" spans="1:24" x14ac:dyDescent="0.2">
      <c r="A70" s="147"/>
      <c r="H70" s="138"/>
      <c r="I70" s="138"/>
      <c r="J70" s="138"/>
      <c r="K70" s="138"/>
      <c r="Q70" s="139"/>
      <c r="R70" s="139"/>
      <c r="S70" s="139"/>
      <c r="T70" s="139"/>
      <c r="U70" s="140"/>
      <c r="W70" s="141"/>
      <c r="X70" s="141"/>
    </row>
    <row r="71" spans="1:24" x14ac:dyDescent="0.2">
      <c r="A71" s="147"/>
      <c r="H71" s="138"/>
      <c r="I71" s="138"/>
      <c r="J71" s="138"/>
      <c r="K71" s="138"/>
      <c r="Q71" s="139"/>
      <c r="R71" s="139"/>
      <c r="S71" s="139"/>
      <c r="T71" s="139"/>
      <c r="U71" s="140"/>
      <c r="W71" s="141"/>
      <c r="X71" s="141"/>
    </row>
    <row r="72" spans="1:24" x14ac:dyDescent="0.2">
      <c r="A72" s="147"/>
      <c r="C72" s="111"/>
      <c r="D72" s="111"/>
      <c r="E72" s="111"/>
      <c r="F72" s="111"/>
      <c r="G72" s="111"/>
      <c r="H72" s="148"/>
      <c r="I72" s="148"/>
      <c r="J72" s="148"/>
      <c r="K72" s="148"/>
      <c r="L72" s="111"/>
      <c r="M72" s="111"/>
      <c r="N72" s="111"/>
      <c r="O72" s="111"/>
      <c r="P72" s="111"/>
      <c r="Q72" s="139"/>
      <c r="R72" s="139"/>
      <c r="S72" s="139"/>
      <c r="T72" s="139"/>
      <c r="U72" s="140"/>
      <c r="W72" s="141"/>
      <c r="X72" s="141"/>
    </row>
    <row r="73" spans="1:24" x14ac:dyDescent="0.2">
      <c r="A73" s="147"/>
      <c r="C73" s="111"/>
      <c r="D73" s="111"/>
      <c r="E73" s="111"/>
      <c r="F73" s="111"/>
      <c r="G73" s="111"/>
      <c r="H73" s="148"/>
      <c r="I73" s="148"/>
      <c r="J73" s="148"/>
      <c r="K73" s="148"/>
      <c r="L73" s="111"/>
      <c r="M73" s="111"/>
      <c r="N73" s="111"/>
      <c r="O73" s="111"/>
      <c r="P73" s="111"/>
      <c r="Q73" s="139"/>
      <c r="R73" s="139"/>
      <c r="S73" s="139"/>
      <c r="T73" s="139"/>
      <c r="U73" s="140"/>
      <c r="W73" s="141"/>
      <c r="X73" s="141"/>
    </row>
    <row r="74" spans="1:24" x14ac:dyDescent="0.2">
      <c r="A74" s="147"/>
      <c r="H74" s="138"/>
      <c r="I74" s="138"/>
      <c r="J74" s="138"/>
      <c r="K74" s="138"/>
      <c r="L74" s="140"/>
      <c r="M74" s="140"/>
      <c r="N74" s="140"/>
      <c r="O74" s="140"/>
      <c r="P74" s="140"/>
      <c r="Q74" s="139"/>
      <c r="R74" s="139"/>
      <c r="S74" s="139"/>
      <c r="T74" s="139"/>
      <c r="U74" s="140"/>
      <c r="W74" s="141"/>
      <c r="X74" s="141"/>
    </row>
    <row r="75" spans="1:24" x14ac:dyDescent="0.2">
      <c r="A75" s="147"/>
      <c r="H75" s="138"/>
      <c r="I75" s="138"/>
      <c r="J75" s="138"/>
      <c r="K75" s="138"/>
      <c r="Q75" s="139"/>
      <c r="R75" s="139"/>
      <c r="S75" s="139"/>
      <c r="T75" s="139"/>
      <c r="U75" s="140"/>
      <c r="W75" s="141"/>
      <c r="X75" s="141"/>
    </row>
    <row r="76" spans="1:24" x14ac:dyDescent="0.2">
      <c r="A76" s="147"/>
      <c r="H76" s="138"/>
      <c r="I76" s="138"/>
      <c r="J76" s="138"/>
      <c r="K76" s="138"/>
      <c r="Q76" s="139"/>
      <c r="R76" s="139"/>
      <c r="S76" s="139"/>
      <c r="T76" s="139"/>
      <c r="U76" s="140"/>
      <c r="W76" s="141"/>
      <c r="X76" s="141"/>
    </row>
    <row r="77" spans="1:24" x14ac:dyDescent="0.2">
      <c r="A77" s="147"/>
      <c r="H77" s="138"/>
      <c r="I77" s="138"/>
      <c r="J77" s="138"/>
      <c r="K77" s="138"/>
      <c r="Q77" s="139"/>
      <c r="R77" s="139"/>
      <c r="S77" s="139"/>
      <c r="T77" s="139"/>
      <c r="U77" s="140"/>
      <c r="W77" s="141"/>
      <c r="X77" s="141"/>
    </row>
    <row r="78" spans="1:24" x14ac:dyDescent="0.2">
      <c r="A78" s="147"/>
      <c r="C78" s="111"/>
      <c r="D78" s="111"/>
      <c r="E78" s="111"/>
      <c r="F78" s="111"/>
      <c r="G78" s="111"/>
      <c r="H78" s="148"/>
      <c r="I78" s="148"/>
      <c r="J78" s="148"/>
      <c r="K78" s="148"/>
      <c r="L78" s="111"/>
      <c r="M78" s="148"/>
      <c r="N78" s="148"/>
      <c r="O78" s="148"/>
      <c r="P78" s="148"/>
      <c r="Q78" s="139"/>
      <c r="R78" s="139"/>
      <c r="S78" s="139"/>
      <c r="T78" s="139"/>
      <c r="U78" s="140"/>
      <c r="W78" s="141"/>
      <c r="X78" s="141"/>
    </row>
    <row r="79" spans="1:24" x14ac:dyDescent="0.2">
      <c r="A79" s="147"/>
      <c r="C79" s="111"/>
      <c r="D79" s="111"/>
      <c r="E79" s="111"/>
      <c r="F79" s="111"/>
      <c r="G79" s="111"/>
      <c r="H79" s="148"/>
      <c r="I79" s="148"/>
      <c r="J79" s="148"/>
      <c r="K79" s="148"/>
      <c r="L79" s="111"/>
      <c r="M79" s="148"/>
      <c r="N79" s="148"/>
      <c r="O79" s="148"/>
      <c r="P79" s="148"/>
      <c r="Q79" s="139"/>
      <c r="R79" s="139"/>
      <c r="S79" s="139"/>
      <c r="T79" s="139"/>
      <c r="U79" s="140"/>
      <c r="W79" s="141"/>
      <c r="X79" s="141"/>
    </row>
    <row r="80" spans="1:24" x14ac:dyDescent="0.2">
      <c r="A80" s="147"/>
      <c r="H80" s="138"/>
      <c r="I80" s="138"/>
      <c r="J80" s="138"/>
      <c r="K80" s="138"/>
      <c r="L80" s="140"/>
      <c r="M80" s="142"/>
      <c r="N80" s="142"/>
      <c r="O80" s="142"/>
      <c r="P80" s="142"/>
      <c r="Q80" s="139"/>
      <c r="R80" s="139"/>
      <c r="S80" s="139"/>
      <c r="T80" s="139"/>
      <c r="U80" s="140"/>
      <c r="W80" s="141"/>
      <c r="X80" s="141"/>
    </row>
    <row r="81" spans="1:24" x14ac:dyDescent="0.2">
      <c r="A81" s="147"/>
      <c r="H81" s="138"/>
      <c r="I81" s="138"/>
      <c r="J81" s="138"/>
      <c r="K81" s="138"/>
      <c r="Q81" s="139"/>
      <c r="R81" s="139"/>
      <c r="S81" s="139"/>
      <c r="T81" s="139"/>
      <c r="U81" s="140"/>
      <c r="W81" s="141"/>
      <c r="X81" s="141"/>
    </row>
    <row r="82" spans="1:24" x14ac:dyDescent="0.2">
      <c r="A82" s="147"/>
      <c r="C82" s="111"/>
      <c r="D82" s="111"/>
      <c r="E82" s="111"/>
      <c r="F82" s="111"/>
      <c r="G82" s="111"/>
      <c r="H82" s="148"/>
      <c r="I82" s="148"/>
      <c r="J82" s="148"/>
      <c r="K82" s="148"/>
      <c r="L82" s="111"/>
      <c r="M82" s="148"/>
      <c r="N82" s="111"/>
      <c r="O82" s="148"/>
      <c r="P82" s="111"/>
      <c r="Q82" s="139"/>
      <c r="R82" s="139"/>
      <c r="S82" s="139"/>
      <c r="T82" s="139"/>
      <c r="U82" s="140"/>
      <c r="W82" s="141"/>
      <c r="X82" s="141"/>
    </row>
    <row r="83" spans="1:24" x14ac:dyDescent="0.2">
      <c r="A83" s="147"/>
      <c r="C83" s="111"/>
      <c r="D83" s="111"/>
      <c r="E83" s="111"/>
      <c r="F83" s="111"/>
      <c r="G83" s="111"/>
      <c r="H83" s="148"/>
      <c r="I83" s="148"/>
      <c r="J83" s="148"/>
      <c r="K83" s="148"/>
      <c r="L83" s="111"/>
      <c r="M83" s="148"/>
      <c r="N83" s="111"/>
      <c r="O83" s="148"/>
      <c r="P83" s="111"/>
      <c r="Q83" s="139"/>
      <c r="R83" s="139"/>
      <c r="S83" s="139"/>
      <c r="T83" s="139"/>
      <c r="U83" s="140"/>
      <c r="W83" s="141"/>
      <c r="X83" s="141"/>
    </row>
    <row r="84" spans="1:24" x14ac:dyDescent="0.2">
      <c r="A84" s="147"/>
      <c r="H84" s="138"/>
      <c r="I84" s="138"/>
      <c r="J84" s="138"/>
      <c r="K84" s="138"/>
      <c r="L84" s="140"/>
      <c r="M84" s="141"/>
      <c r="N84" s="142"/>
      <c r="O84" s="141"/>
      <c r="P84" s="142"/>
      <c r="Q84" s="139"/>
      <c r="R84" s="139"/>
      <c r="S84" s="139"/>
      <c r="T84" s="139"/>
      <c r="U84" s="140"/>
      <c r="W84" s="141"/>
      <c r="X84" s="141"/>
    </row>
    <row r="85" spans="1:24" x14ac:dyDescent="0.2">
      <c r="A85" s="147"/>
      <c r="D85" s="150"/>
      <c r="E85" s="150"/>
      <c r="F85" s="150"/>
      <c r="G85" s="150"/>
      <c r="H85" s="150"/>
      <c r="I85" s="150"/>
      <c r="J85" s="150"/>
      <c r="K85" s="150"/>
      <c r="L85" s="151"/>
      <c r="M85" s="152"/>
      <c r="N85" s="153"/>
      <c r="O85" s="152"/>
      <c r="P85" s="153"/>
      <c r="Q85" s="139"/>
      <c r="R85" s="139"/>
      <c r="S85" s="139"/>
      <c r="T85" s="139"/>
      <c r="U85" s="140"/>
      <c r="W85" s="141"/>
      <c r="X85" s="141"/>
    </row>
    <row r="86" spans="1:24" x14ac:dyDescent="0.2">
      <c r="A86" s="147"/>
      <c r="H86" s="138"/>
      <c r="I86" s="138"/>
      <c r="J86" s="138"/>
      <c r="K86" s="138"/>
      <c r="L86" s="140"/>
      <c r="M86" s="141"/>
      <c r="N86" s="142"/>
      <c r="O86" s="141"/>
      <c r="P86" s="142"/>
      <c r="Q86" s="139"/>
      <c r="R86" s="139"/>
      <c r="S86" s="139"/>
      <c r="T86" s="139"/>
      <c r="U86" s="140"/>
      <c r="W86" s="141"/>
      <c r="X86" s="141"/>
    </row>
    <row r="87" spans="1:24" x14ac:dyDescent="0.2">
      <c r="A87" s="147"/>
      <c r="H87" s="138"/>
      <c r="I87" s="138"/>
      <c r="J87" s="138"/>
      <c r="K87" s="138"/>
      <c r="Q87" s="139"/>
      <c r="R87" s="139"/>
      <c r="S87" s="139"/>
      <c r="T87" s="139"/>
      <c r="U87" s="140"/>
      <c r="W87" s="141"/>
      <c r="X87" s="141"/>
    </row>
    <row r="88" spans="1:24" x14ac:dyDescent="0.2">
      <c r="A88" s="147"/>
      <c r="H88" s="138"/>
      <c r="I88" s="138"/>
      <c r="J88" s="138"/>
      <c r="K88" s="138"/>
      <c r="Q88" s="139"/>
      <c r="R88" s="139"/>
      <c r="S88" s="139"/>
      <c r="T88" s="139"/>
      <c r="U88" s="140"/>
      <c r="W88" s="141"/>
      <c r="X88" s="141"/>
    </row>
    <row r="89" spans="1:24" x14ac:dyDescent="0.2">
      <c r="A89" s="147"/>
      <c r="C89" s="111"/>
      <c r="D89" s="111"/>
      <c r="E89" s="111"/>
      <c r="F89" s="111"/>
      <c r="G89" s="111"/>
      <c r="H89" s="148"/>
      <c r="I89" s="148"/>
      <c r="J89" s="148"/>
      <c r="K89" s="148"/>
      <c r="L89" s="111"/>
      <c r="M89" s="111"/>
      <c r="N89" s="111"/>
      <c r="O89" s="111"/>
      <c r="P89" s="111"/>
      <c r="Q89" s="139"/>
      <c r="R89" s="139"/>
      <c r="S89" s="139"/>
      <c r="T89" s="139"/>
      <c r="U89" s="140"/>
      <c r="W89" s="141"/>
      <c r="X89" s="141"/>
    </row>
    <row r="90" spans="1:24" x14ac:dyDescent="0.2">
      <c r="A90" s="147"/>
      <c r="C90" s="111"/>
      <c r="D90" s="111"/>
      <c r="E90" s="111"/>
      <c r="F90" s="111"/>
      <c r="G90" s="111"/>
      <c r="H90" s="148"/>
      <c r="I90" s="148"/>
      <c r="J90" s="148"/>
      <c r="K90" s="148"/>
      <c r="L90" s="111"/>
      <c r="M90" s="111"/>
      <c r="N90" s="111"/>
      <c r="O90" s="111"/>
      <c r="P90" s="111"/>
      <c r="Q90" s="139"/>
      <c r="R90" s="139"/>
      <c r="S90" s="139"/>
      <c r="T90" s="139"/>
      <c r="U90" s="140"/>
      <c r="W90" s="141"/>
      <c r="X90" s="141"/>
    </row>
    <row r="91" spans="1:24" x14ac:dyDescent="0.2">
      <c r="A91" s="147"/>
      <c r="H91" s="138"/>
      <c r="I91" s="138"/>
      <c r="J91" s="138"/>
      <c r="K91" s="138"/>
      <c r="L91" s="140"/>
      <c r="M91" s="140"/>
      <c r="N91" s="140"/>
      <c r="O91" s="140"/>
      <c r="P91" s="140"/>
      <c r="Q91" s="139"/>
      <c r="R91" s="139"/>
      <c r="S91" s="139"/>
      <c r="T91" s="139"/>
      <c r="U91" s="140"/>
      <c r="W91" s="141"/>
      <c r="X91" s="141"/>
    </row>
    <row r="92" spans="1:24" x14ac:dyDescent="0.2">
      <c r="A92" s="147"/>
      <c r="H92" s="138"/>
      <c r="I92" s="138"/>
      <c r="J92" s="138"/>
      <c r="K92" s="138"/>
      <c r="Q92" s="139"/>
      <c r="R92" s="139"/>
      <c r="S92" s="139"/>
      <c r="T92" s="139"/>
      <c r="U92" s="140"/>
      <c r="W92" s="141"/>
      <c r="X92" s="141"/>
    </row>
    <row r="93" spans="1:24" x14ac:dyDescent="0.2">
      <c r="A93" s="147"/>
      <c r="H93" s="138"/>
      <c r="I93" s="138"/>
      <c r="J93" s="138"/>
      <c r="K93" s="138"/>
      <c r="Q93" s="139"/>
      <c r="R93" s="139"/>
      <c r="S93" s="141"/>
      <c r="T93" s="140"/>
      <c r="V93" s="141"/>
      <c r="W93" s="141"/>
    </row>
    <row r="94" spans="1:24" x14ac:dyDescent="0.2">
      <c r="A94" s="147"/>
      <c r="H94" s="138"/>
      <c r="I94" s="138"/>
      <c r="J94" s="138"/>
      <c r="K94" s="138"/>
      <c r="Q94" s="139"/>
      <c r="R94" s="139"/>
      <c r="S94" s="141"/>
      <c r="T94" s="140"/>
      <c r="V94" s="141"/>
      <c r="W94" s="141"/>
    </row>
    <row r="95" spans="1:24" x14ac:dyDescent="0.2">
      <c r="A95" s="147"/>
      <c r="C95" s="111"/>
      <c r="D95" s="111"/>
      <c r="E95" s="111"/>
      <c r="F95" s="111"/>
      <c r="G95" s="111"/>
      <c r="H95" s="148"/>
      <c r="I95" s="148"/>
      <c r="J95" s="148"/>
      <c r="K95" s="148"/>
      <c r="L95" s="111"/>
      <c r="M95" s="148"/>
      <c r="N95" s="148"/>
      <c r="O95" s="148"/>
      <c r="P95" s="148"/>
      <c r="Q95" s="139"/>
      <c r="R95" s="139"/>
      <c r="S95" s="141"/>
      <c r="T95" s="140"/>
      <c r="V95" s="141"/>
      <c r="W95" s="141"/>
    </row>
    <row r="96" spans="1:24" x14ac:dyDescent="0.2">
      <c r="A96" s="147"/>
      <c r="C96" s="111"/>
      <c r="D96" s="111"/>
      <c r="E96" s="111"/>
      <c r="F96" s="111"/>
      <c r="G96" s="111"/>
      <c r="H96" s="148"/>
      <c r="I96" s="148"/>
      <c r="J96" s="148"/>
      <c r="K96" s="148"/>
      <c r="L96" s="111"/>
      <c r="M96" s="148"/>
      <c r="N96" s="148"/>
      <c r="O96" s="148"/>
      <c r="P96" s="148"/>
      <c r="Q96" s="139"/>
      <c r="R96" s="139"/>
      <c r="S96" s="141"/>
      <c r="T96" s="140"/>
      <c r="V96" s="141"/>
      <c r="W96" s="141"/>
    </row>
    <row r="97" spans="1:23" x14ac:dyDescent="0.2">
      <c r="A97" s="147"/>
      <c r="H97" s="138"/>
      <c r="I97" s="138"/>
      <c r="J97" s="138"/>
      <c r="K97" s="138"/>
      <c r="L97" s="140"/>
      <c r="M97" s="142"/>
      <c r="N97" s="142"/>
      <c r="O97" s="142"/>
      <c r="P97" s="142"/>
      <c r="Q97" s="139"/>
      <c r="R97" s="154"/>
      <c r="S97" s="111"/>
      <c r="T97" s="148"/>
      <c r="V97" s="141"/>
      <c r="W97" s="141"/>
    </row>
    <row r="98" spans="1:23" x14ac:dyDescent="0.2">
      <c r="A98" s="147"/>
      <c r="H98" s="138"/>
      <c r="I98" s="138"/>
      <c r="J98" s="138"/>
      <c r="K98" s="138"/>
      <c r="Q98" s="139"/>
      <c r="R98" s="139"/>
      <c r="S98" s="111"/>
      <c r="T98" s="148"/>
      <c r="V98" s="141"/>
      <c r="W98" s="141"/>
    </row>
    <row r="99" spans="1:23" x14ac:dyDescent="0.2">
      <c r="A99" s="147"/>
      <c r="C99" s="111"/>
      <c r="D99" s="111"/>
      <c r="E99" s="111"/>
      <c r="F99" s="111"/>
      <c r="G99" s="111"/>
      <c r="H99" s="148"/>
      <c r="I99" s="148"/>
      <c r="J99" s="148"/>
      <c r="K99" s="148"/>
      <c r="L99" s="111"/>
      <c r="M99" s="148"/>
      <c r="N99" s="111"/>
      <c r="O99" s="148"/>
      <c r="P99" s="111"/>
      <c r="Q99" s="139"/>
      <c r="R99" s="139"/>
      <c r="S99" s="111"/>
      <c r="T99" s="148"/>
      <c r="V99" s="141"/>
      <c r="W99" s="141"/>
    </row>
    <row r="100" spans="1:23" x14ac:dyDescent="0.2">
      <c r="A100" s="147"/>
      <c r="C100" s="111"/>
      <c r="D100" s="111"/>
      <c r="E100" s="111"/>
      <c r="F100" s="111"/>
      <c r="G100" s="111"/>
      <c r="H100" s="148"/>
      <c r="I100" s="148"/>
      <c r="J100" s="148"/>
      <c r="K100" s="148"/>
      <c r="L100" s="111"/>
      <c r="M100" s="148"/>
      <c r="N100" s="111"/>
      <c r="O100" s="148"/>
      <c r="P100" s="111"/>
      <c r="Q100" s="139"/>
      <c r="R100" s="139"/>
      <c r="S100" s="142"/>
      <c r="T100" s="141"/>
      <c r="V100" s="141"/>
      <c r="W100" s="141"/>
    </row>
    <row r="101" spans="1:23" x14ac:dyDescent="0.2">
      <c r="A101" s="147"/>
      <c r="H101" s="138"/>
      <c r="I101" s="138"/>
      <c r="J101" s="138"/>
      <c r="K101" s="138"/>
      <c r="L101" s="140"/>
      <c r="M101" s="141"/>
      <c r="N101" s="142"/>
      <c r="O101" s="141"/>
      <c r="P101" s="142"/>
      <c r="Q101" s="139"/>
      <c r="R101" s="139"/>
      <c r="S101" s="142"/>
      <c r="T101" s="141"/>
      <c r="V101" s="141"/>
      <c r="W101" s="141"/>
    </row>
    <row r="102" spans="1:23" x14ac:dyDescent="0.2">
      <c r="A102" s="147"/>
      <c r="E102" s="150"/>
      <c r="F102" s="150"/>
      <c r="G102" s="150"/>
      <c r="H102" s="150"/>
      <c r="I102" s="150"/>
      <c r="J102" s="150"/>
      <c r="K102" s="150"/>
      <c r="L102" s="151"/>
      <c r="M102" s="152"/>
      <c r="N102" s="153"/>
      <c r="O102" s="152"/>
      <c r="P102" s="153"/>
      <c r="Q102" s="139"/>
      <c r="R102" s="139"/>
      <c r="S102" s="142"/>
      <c r="T102" s="141"/>
      <c r="V102" s="141"/>
      <c r="W102" s="141"/>
    </row>
    <row r="103" spans="1:23" x14ac:dyDescent="0.2">
      <c r="A103" s="147"/>
      <c r="H103" s="138"/>
      <c r="I103" s="138"/>
      <c r="J103" s="138"/>
      <c r="K103" s="138"/>
      <c r="L103" s="140"/>
      <c r="M103" s="141"/>
      <c r="N103" s="142"/>
      <c r="O103" s="141"/>
      <c r="P103" s="142"/>
      <c r="Q103" s="139"/>
      <c r="R103" s="139"/>
      <c r="S103" s="142"/>
      <c r="T103" s="141"/>
      <c r="V103" s="141"/>
      <c r="W103" s="141"/>
    </row>
    <row r="104" spans="1:23" x14ac:dyDescent="0.2">
      <c r="A104" s="147"/>
      <c r="H104" s="138"/>
      <c r="I104" s="138"/>
      <c r="J104" s="138"/>
      <c r="K104" s="138"/>
      <c r="L104" s="155"/>
      <c r="M104" s="139"/>
      <c r="O104" s="139"/>
      <c r="Q104" s="139"/>
      <c r="R104" s="141"/>
      <c r="S104" s="142"/>
      <c r="T104" s="141"/>
      <c r="V104" s="141"/>
      <c r="W104" s="141"/>
    </row>
    <row r="105" spans="1:23" x14ac:dyDescent="0.2">
      <c r="A105" s="147"/>
      <c r="H105" s="138"/>
      <c r="I105" s="138"/>
      <c r="J105" s="138"/>
      <c r="K105" s="138"/>
      <c r="Q105" s="139"/>
      <c r="R105" s="139"/>
      <c r="S105" s="142"/>
      <c r="T105" s="141"/>
      <c r="V105" s="141"/>
      <c r="W105" s="141"/>
    </row>
    <row r="106" spans="1:23" x14ac:dyDescent="0.2">
      <c r="A106" s="147"/>
      <c r="C106" s="111"/>
      <c r="D106" s="111"/>
      <c r="E106" s="111"/>
      <c r="F106" s="111"/>
      <c r="G106" s="111"/>
      <c r="H106" s="148"/>
      <c r="I106" s="148"/>
      <c r="J106" s="148"/>
      <c r="K106" s="148"/>
      <c r="L106" s="111"/>
      <c r="M106" s="111"/>
      <c r="N106" s="111"/>
      <c r="O106" s="111"/>
      <c r="P106" s="111"/>
      <c r="Q106" s="139"/>
      <c r="R106" s="139"/>
      <c r="S106" s="142"/>
      <c r="T106" s="141"/>
      <c r="V106" s="141"/>
      <c r="W106" s="141"/>
    </row>
    <row r="107" spans="1:23" x14ac:dyDescent="0.2">
      <c r="A107" s="147"/>
      <c r="C107" s="111"/>
      <c r="D107" s="111"/>
      <c r="E107" s="111"/>
      <c r="F107" s="111"/>
      <c r="G107" s="111"/>
      <c r="H107" s="148"/>
      <c r="I107" s="148"/>
      <c r="J107" s="148"/>
      <c r="K107" s="148"/>
      <c r="L107" s="111"/>
      <c r="M107" s="111"/>
      <c r="N107" s="111"/>
      <c r="O107" s="111"/>
      <c r="P107" s="111"/>
      <c r="Q107" s="139"/>
      <c r="R107" s="139"/>
      <c r="S107" s="142"/>
      <c r="T107" s="141"/>
      <c r="V107" s="141"/>
      <c r="W107" s="141"/>
    </row>
    <row r="108" spans="1:23" x14ac:dyDescent="0.2">
      <c r="A108" s="147"/>
      <c r="H108" s="138"/>
      <c r="I108" s="138"/>
      <c r="J108" s="138"/>
      <c r="K108" s="138"/>
      <c r="L108" s="140"/>
      <c r="M108" s="140"/>
      <c r="N108" s="140"/>
      <c r="O108" s="140"/>
      <c r="P108" s="140"/>
      <c r="Q108" s="139"/>
      <c r="R108" s="139"/>
      <c r="S108" s="142"/>
      <c r="T108" s="141"/>
      <c r="V108" s="141"/>
      <c r="W108" s="141"/>
    </row>
    <row r="109" spans="1:23" x14ac:dyDescent="0.2">
      <c r="A109" s="147"/>
      <c r="H109" s="138"/>
      <c r="I109" s="138"/>
      <c r="J109" s="138"/>
      <c r="K109" s="138"/>
      <c r="Q109" s="139"/>
      <c r="R109" s="139"/>
      <c r="S109" s="142"/>
      <c r="T109" s="141"/>
      <c r="V109" s="141"/>
      <c r="W109" s="141"/>
    </row>
    <row r="110" spans="1:23" x14ac:dyDescent="0.2">
      <c r="A110" s="147"/>
      <c r="H110" s="138"/>
      <c r="I110" s="138"/>
      <c r="J110" s="138"/>
      <c r="K110" s="138"/>
      <c r="Q110" s="139"/>
      <c r="R110" s="139"/>
      <c r="S110" s="142"/>
      <c r="T110" s="141"/>
      <c r="V110" s="141"/>
      <c r="W110" s="141"/>
    </row>
    <row r="111" spans="1:23" x14ac:dyDescent="0.2">
      <c r="A111" s="147"/>
      <c r="H111" s="138"/>
      <c r="I111" s="138"/>
      <c r="J111" s="138"/>
      <c r="K111" s="138"/>
      <c r="Q111" s="139"/>
      <c r="R111" s="139"/>
      <c r="S111" s="142"/>
      <c r="T111" s="141"/>
      <c r="V111" s="141"/>
      <c r="W111" s="141"/>
    </row>
    <row r="112" spans="1:23" x14ac:dyDescent="0.2">
      <c r="A112" s="147"/>
      <c r="C112" s="111"/>
      <c r="D112" s="111"/>
      <c r="E112" s="111"/>
      <c r="F112" s="111"/>
      <c r="G112" s="111"/>
      <c r="H112" s="148"/>
      <c r="I112" s="148"/>
      <c r="J112" s="148"/>
      <c r="K112" s="148"/>
      <c r="L112" s="111"/>
      <c r="M112" s="148"/>
      <c r="N112" s="148"/>
      <c r="O112" s="148"/>
      <c r="P112" s="148"/>
      <c r="Q112" s="139"/>
      <c r="R112" s="139"/>
      <c r="S112" s="142"/>
      <c r="T112" s="141"/>
      <c r="V112" s="141"/>
      <c r="W112" s="141"/>
    </row>
    <row r="113" spans="1:23" x14ac:dyDescent="0.2">
      <c r="A113" s="147"/>
      <c r="C113" s="111"/>
      <c r="D113" s="111"/>
      <c r="E113" s="111"/>
      <c r="F113" s="111"/>
      <c r="G113" s="111"/>
      <c r="H113" s="148"/>
      <c r="I113" s="148"/>
      <c r="J113" s="148"/>
      <c r="K113" s="148"/>
      <c r="L113" s="111"/>
      <c r="M113" s="148"/>
      <c r="N113" s="148"/>
      <c r="O113" s="148"/>
      <c r="P113" s="148"/>
      <c r="Q113" s="139"/>
      <c r="R113" s="139"/>
      <c r="S113" s="142"/>
      <c r="T113" s="141"/>
      <c r="V113" s="141"/>
      <c r="W113" s="141"/>
    </row>
    <row r="114" spans="1:23" x14ac:dyDescent="0.2">
      <c r="A114" s="147"/>
      <c r="H114" s="138"/>
      <c r="I114" s="138"/>
      <c r="J114" s="138"/>
      <c r="K114" s="138"/>
      <c r="L114" s="140"/>
      <c r="M114" s="142"/>
      <c r="N114" s="142"/>
      <c r="O114" s="142"/>
      <c r="P114" s="142"/>
      <c r="Q114" s="139"/>
      <c r="R114" s="139"/>
      <c r="S114" s="142"/>
      <c r="T114" s="141"/>
      <c r="V114" s="141"/>
      <c r="W114" s="141"/>
    </row>
    <row r="115" spans="1:23" x14ac:dyDescent="0.2">
      <c r="A115" s="147"/>
      <c r="H115" s="138"/>
      <c r="I115" s="138"/>
      <c r="J115" s="138"/>
      <c r="K115" s="138"/>
      <c r="Q115" s="139"/>
      <c r="R115" s="139"/>
      <c r="S115" s="142"/>
      <c r="T115" s="141"/>
      <c r="V115" s="141"/>
      <c r="W115" s="141"/>
    </row>
    <row r="116" spans="1:23" x14ac:dyDescent="0.2">
      <c r="A116" s="147"/>
      <c r="C116" s="111"/>
      <c r="D116" s="111"/>
      <c r="E116" s="111"/>
      <c r="F116" s="111"/>
      <c r="G116" s="111"/>
      <c r="H116" s="148"/>
      <c r="I116" s="148"/>
      <c r="J116" s="148"/>
      <c r="K116" s="148"/>
      <c r="L116" s="111"/>
      <c r="M116" s="148"/>
      <c r="N116" s="111"/>
      <c r="O116" s="148"/>
      <c r="P116" s="111"/>
      <c r="Q116" s="139"/>
      <c r="R116" s="139"/>
      <c r="S116" s="142"/>
      <c r="T116" s="141"/>
      <c r="V116" s="141"/>
      <c r="W116" s="141"/>
    </row>
    <row r="117" spans="1:23" x14ac:dyDescent="0.2">
      <c r="A117" s="147"/>
      <c r="C117" s="111"/>
      <c r="E117" s="111"/>
      <c r="F117" s="111"/>
      <c r="G117" s="111"/>
      <c r="H117" s="148"/>
      <c r="I117" s="148"/>
      <c r="J117" s="148"/>
      <c r="K117" s="148"/>
      <c r="L117" s="111"/>
      <c r="M117" s="148"/>
      <c r="N117" s="111"/>
      <c r="O117" s="148"/>
      <c r="P117" s="111"/>
      <c r="Q117" s="139"/>
      <c r="R117" s="139"/>
      <c r="S117" s="142"/>
      <c r="T117" s="141"/>
      <c r="V117" s="141"/>
      <c r="W117" s="141"/>
    </row>
    <row r="118" spans="1:23" x14ac:dyDescent="0.2">
      <c r="A118" s="147"/>
      <c r="H118" s="138"/>
      <c r="I118" s="138"/>
      <c r="J118" s="138"/>
      <c r="K118" s="138"/>
      <c r="L118" s="140"/>
      <c r="M118" s="141"/>
      <c r="N118" s="142"/>
      <c r="O118" s="141"/>
      <c r="P118" s="142"/>
      <c r="Q118" s="139"/>
      <c r="R118" s="139"/>
      <c r="S118" s="142"/>
      <c r="T118" s="141"/>
      <c r="V118" s="141"/>
      <c r="W118" s="141"/>
    </row>
    <row r="119" spans="1:23" x14ac:dyDescent="0.2">
      <c r="A119" s="147"/>
      <c r="D119" s="150"/>
      <c r="E119" s="150"/>
      <c r="F119" s="150"/>
      <c r="G119" s="150"/>
      <c r="H119" s="150"/>
      <c r="I119" s="150"/>
      <c r="J119" s="150"/>
      <c r="K119" s="150"/>
      <c r="L119" s="151"/>
      <c r="M119" s="152"/>
      <c r="N119" s="153"/>
      <c r="O119" s="152"/>
      <c r="P119" s="153"/>
      <c r="Q119" s="139"/>
      <c r="R119" s="139"/>
      <c r="S119" s="142"/>
      <c r="T119" s="141"/>
      <c r="V119" s="141"/>
      <c r="W119" s="141"/>
    </row>
    <row r="120" spans="1:23" x14ac:dyDescent="0.2">
      <c r="A120" s="137"/>
      <c r="S120" s="142"/>
      <c r="T120" s="141"/>
      <c r="V120" s="141"/>
      <c r="W120" s="141"/>
    </row>
    <row r="121" spans="1:23" x14ac:dyDescent="0.2">
      <c r="A121" s="147"/>
      <c r="H121" s="138"/>
      <c r="I121" s="138"/>
      <c r="J121" s="138"/>
      <c r="K121" s="138"/>
      <c r="L121" s="155"/>
      <c r="M121" s="139"/>
      <c r="O121" s="139"/>
      <c r="Q121" s="139"/>
      <c r="R121" s="141"/>
      <c r="S121" s="142"/>
      <c r="T121" s="141"/>
      <c r="V121" s="141"/>
      <c r="W121" s="141"/>
    </row>
    <row r="122" spans="1:23" x14ac:dyDescent="0.2">
      <c r="A122" s="147"/>
      <c r="H122" s="138"/>
      <c r="I122" s="138"/>
      <c r="J122" s="138"/>
      <c r="K122" s="138"/>
      <c r="Q122" s="139"/>
      <c r="R122" s="139"/>
      <c r="S122" s="142"/>
      <c r="T122" s="141"/>
      <c r="V122" s="141"/>
      <c r="W122" s="141"/>
    </row>
    <row r="123" spans="1:23" x14ac:dyDescent="0.2">
      <c r="A123" s="147"/>
      <c r="C123" s="111"/>
      <c r="D123" s="111"/>
      <c r="E123" s="111"/>
      <c r="F123" s="111"/>
      <c r="G123" s="111"/>
      <c r="H123" s="148"/>
      <c r="I123" s="148"/>
      <c r="J123" s="148"/>
      <c r="K123" s="148"/>
      <c r="L123" s="111"/>
      <c r="M123" s="111"/>
      <c r="N123" s="111"/>
      <c r="O123" s="111"/>
      <c r="P123" s="111"/>
      <c r="Q123" s="139"/>
      <c r="R123" s="139"/>
      <c r="S123" s="142"/>
      <c r="T123" s="141"/>
      <c r="V123" s="141"/>
      <c r="W123" s="141"/>
    </row>
    <row r="124" spans="1:23" x14ac:dyDescent="0.2">
      <c r="A124" s="147"/>
      <c r="C124" s="111"/>
      <c r="D124" s="111"/>
      <c r="E124" s="111"/>
      <c r="F124" s="111"/>
      <c r="G124" s="111"/>
      <c r="H124" s="148"/>
      <c r="I124" s="148"/>
      <c r="J124" s="148"/>
      <c r="K124" s="148"/>
      <c r="L124" s="111"/>
      <c r="M124" s="111"/>
      <c r="N124" s="111"/>
      <c r="O124" s="111"/>
      <c r="P124" s="111"/>
      <c r="Q124" s="139"/>
      <c r="R124" s="139"/>
      <c r="S124" s="142"/>
      <c r="T124" s="141"/>
      <c r="V124" s="141"/>
      <c r="W124" s="141"/>
    </row>
    <row r="125" spans="1:23" x14ac:dyDescent="0.2">
      <c r="A125" s="147"/>
      <c r="H125" s="138"/>
      <c r="I125" s="138"/>
      <c r="J125" s="138"/>
      <c r="K125" s="138"/>
      <c r="L125" s="140"/>
      <c r="M125" s="140"/>
      <c r="N125" s="140"/>
      <c r="O125" s="140"/>
      <c r="P125" s="140"/>
      <c r="Q125" s="139"/>
      <c r="R125" s="139"/>
      <c r="S125" s="142"/>
      <c r="T125" s="141"/>
      <c r="V125" s="141"/>
      <c r="W125" s="141"/>
    </row>
    <row r="126" spans="1:23" x14ac:dyDescent="0.2">
      <c r="A126" s="147"/>
      <c r="H126" s="138"/>
      <c r="I126" s="138"/>
      <c r="J126" s="138"/>
      <c r="K126" s="138"/>
      <c r="Q126" s="139"/>
      <c r="R126" s="139"/>
      <c r="S126" s="142"/>
      <c r="T126" s="141"/>
      <c r="V126" s="141"/>
      <c r="W126" s="141"/>
    </row>
    <row r="127" spans="1:23" x14ac:dyDescent="0.2">
      <c r="A127" s="147"/>
      <c r="H127" s="138"/>
      <c r="I127" s="138"/>
      <c r="J127" s="138"/>
      <c r="K127" s="138"/>
      <c r="Q127" s="139"/>
      <c r="R127" s="139"/>
      <c r="S127" s="142"/>
      <c r="T127" s="141"/>
      <c r="V127" s="141"/>
      <c r="W127" s="141"/>
    </row>
    <row r="128" spans="1:23" x14ac:dyDescent="0.2">
      <c r="A128" s="147"/>
      <c r="H128" s="138"/>
      <c r="I128" s="138"/>
      <c r="J128" s="138"/>
      <c r="K128" s="138"/>
      <c r="Q128" s="139"/>
      <c r="R128" s="139"/>
      <c r="S128" s="142"/>
      <c r="T128" s="141"/>
      <c r="V128" s="141"/>
      <c r="W128" s="141"/>
    </row>
    <row r="129" spans="1:23" x14ac:dyDescent="0.2">
      <c r="A129" s="147"/>
      <c r="C129" s="111"/>
      <c r="D129" s="111"/>
      <c r="E129" s="111"/>
      <c r="F129" s="111"/>
      <c r="G129" s="111"/>
      <c r="H129" s="148"/>
      <c r="I129" s="148"/>
      <c r="J129" s="148"/>
      <c r="K129" s="148"/>
      <c r="L129" s="111"/>
      <c r="M129" s="148"/>
      <c r="N129" s="148"/>
      <c r="O129" s="148"/>
      <c r="P129" s="148"/>
      <c r="Q129" s="139"/>
      <c r="R129" s="139"/>
      <c r="S129" s="142"/>
      <c r="T129" s="141"/>
      <c r="V129" s="141"/>
      <c r="W129" s="141"/>
    </row>
    <row r="130" spans="1:23" x14ac:dyDescent="0.2">
      <c r="A130" s="147"/>
      <c r="C130" s="111"/>
      <c r="D130" s="111"/>
      <c r="E130" s="111"/>
      <c r="F130" s="111"/>
      <c r="G130" s="111"/>
      <c r="H130" s="148"/>
      <c r="I130" s="148"/>
      <c r="J130" s="148"/>
      <c r="K130" s="148"/>
      <c r="L130" s="111"/>
      <c r="M130" s="148"/>
      <c r="N130" s="148"/>
      <c r="O130" s="148"/>
      <c r="P130" s="148"/>
      <c r="Q130" s="139"/>
      <c r="R130" s="139"/>
      <c r="S130" s="142"/>
      <c r="T130" s="141"/>
      <c r="V130" s="141"/>
      <c r="W130" s="141"/>
    </row>
    <row r="131" spans="1:23" x14ac:dyDescent="0.2">
      <c r="A131" s="147"/>
      <c r="H131" s="138"/>
      <c r="I131" s="138"/>
      <c r="J131" s="138"/>
      <c r="K131" s="138"/>
      <c r="L131" s="140"/>
      <c r="M131" s="142"/>
      <c r="N131" s="142"/>
      <c r="O131" s="142"/>
      <c r="P131" s="142"/>
      <c r="Q131" s="139"/>
      <c r="R131" s="139"/>
      <c r="S131" s="142"/>
      <c r="T131" s="141"/>
      <c r="V131" s="141"/>
      <c r="W131" s="141"/>
    </row>
    <row r="132" spans="1:23" x14ac:dyDescent="0.2">
      <c r="A132" s="147"/>
      <c r="H132" s="138"/>
      <c r="I132" s="138"/>
      <c r="J132" s="138"/>
      <c r="K132" s="138"/>
      <c r="Q132" s="139"/>
      <c r="R132" s="139"/>
      <c r="S132" s="142"/>
      <c r="T132" s="141"/>
      <c r="V132" s="141"/>
      <c r="W132" s="141"/>
    </row>
    <row r="133" spans="1:23" x14ac:dyDescent="0.2">
      <c r="A133" s="147"/>
      <c r="C133" s="111"/>
      <c r="D133" s="111"/>
      <c r="E133" s="111"/>
      <c r="F133" s="111"/>
      <c r="G133" s="111"/>
      <c r="H133" s="148"/>
      <c r="I133" s="148"/>
      <c r="J133" s="148"/>
      <c r="K133" s="148"/>
      <c r="L133" s="111"/>
      <c r="M133" s="148"/>
      <c r="N133" s="111"/>
      <c r="O133" s="148"/>
      <c r="P133" s="111"/>
      <c r="Q133" s="139"/>
      <c r="R133" s="139"/>
      <c r="S133" s="142"/>
      <c r="T133" s="141"/>
      <c r="V133" s="141"/>
      <c r="W133" s="141"/>
    </row>
    <row r="134" spans="1:23" x14ac:dyDescent="0.2">
      <c r="A134" s="147"/>
      <c r="C134" s="111"/>
      <c r="E134" s="111"/>
      <c r="F134" s="111"/>
      <c r="G134" s="111"/>
      <c r="H134" s="148"/>
      <c r="I134" s="148"/>
      <c r="J134" s="148"/>
      <c r="K134" s="148"/>
      <c r="L134" s="111"/>
      <c r="M134" s="148"/>
      <c r="N134" s="111"/>
      <c r="O134" s="148"/>
      <c r="P134" s="111"/>
      <c r="Q134" s="139"/>
      <c r="R134" s="139"/>
      <c r="S134" s="142"/>
      <c r="T134" s="141"/>
      <c r="V134" s="141"/>
      <c r="W134" s="141"/>
    </row>
    <row r="135" spans="1:23" x14ac:dyDescent="0.2">
      <c r="A135" s="147"/>
      <c r="H135" s="138"/>
      <c r="I135" s="138"/>
      <c r="J135" s="138"/>
      <c r="K135" s="138"/>
      <c r="L135" s="140"/>
      <c r="M135" s="141"/>
      <c r="N135" s="142"/>
      <c r="O135" s="141"/>
      <c r="P135" s="142"/>
      <c r="Q135" s="139"/>
      <c r="R135" s="139"/>
      <c r="S135" s="142"/>
      <c r="T135" s="141"/>
      <c r="V135" s="141"/>
      <c r="W135" s="141"/>
    </row>
    <row r="136" spans="1:23" x14ac:dyDescent="0.2">
      <c r="A136" s="147"/>
      <c r="D136" s="150"/>
      <c r="E136" s="150"/>
      <c r="F136" s="150"/>
      <c r="G136" s="150"/>
      <c r="H136" s="150"/>
      <c r="I136" s="150"/>
      <c r="J136" s="150"/>
      <c r="K136" s="150"/>
      <c r="L136" s="151"/>
      <c r="M136" s="152"/>
      <c r="N136" s="153"/>
      <c r="O136" s="152"/>
      <c r="P136" s="153"/>
      <c r="Q136" s="139"/>
      <c r="R136" s="139"/>
      <c r="S136" s="142"/>
      <c r="T136" s="141"/>
      <c r="V136" s="141"/>
      <c r="W136" s="141"/>
    </row>
    <row r="137" spans="1:23" x14ac:dyDescent="0.2">
      <c r="A137" s="147"/>
      <c r="H137" s="138"/>
      <c r="I137" s="138"/>
      <c r="J137" s="138"/>
      <c r="K137" s="138"/>
      <c r="L137" s="140"/>
      <c r="M137" s="141"/>
      <c r="N137" s="142"/>
      <c r="O137" s="141"/>
      <c r="P137" s="142"/>
      <c r="Q137" s="139"/>
      <c r="R137" s="139"/>
      <c r="S137" s="142"/>
      <c r="T137" s="141"/>
      <c r="V137" s="141"/>
      <c r="W137" s="141"/>
    </row>
    <row r="138" spans="1:23" x14ac:dyDescent="0.2">
      <c r="A138" s="147"/>
      <c r="H138" s="138"/>
      <c r="I138" s="138"/>
      <c r="J138" s="138"/>
      <c r="K138" s="138"/>
      <c r="L138" s="155"/>
      <c r="M138" s="139"/>
      <c r="O138" s="139"/>
      <c r="Q138" s="139"/>
      <c r="R138" s="141"/>
      <c r="S138" s="142"/>
      <c r="T138" s="141"/>
      <c r="V138" s="141"/>
      <c r="W138" s="141"/>
    </row>
    <row r="139" spans="1:23" x14ac:dyDescent="0.2">
      <c r="A139" s="147"/>
      <c r="H139" s="138"/>
      <c r="I139" s="138"/>
      <c r="J139" s="138"/>
      <c r="K139" s="138"/>
      <c r="Q139" s="139"/>
      <c r="R139" s="139"/>
      <c r="S139" s="142"/>
      <c r="T139" s="141"/>
      <c r="V139" s="141"/>
      <c r="W139" s="141"/>
    </row>
    <row r="140" spans="1:23" x14ac:dyDescent="0.2">
      <c r="A140" s="147"/>
      <c r="C140" s="111"/>
      <c r="D140" s="111"/>
      <c r="E140" s="111"/>
      <c r="F140" s="111"/>
      <c r="G140" s="111"/>
      <c r="H140" s="148"/>
      <c r="I140" s="148"/>
      <c r="J140" s="148"/>
      <c r="K140" s="148"/>
      <c r="L140" s="111"/>
      <c r="M140" s="111"/>
      <c r="N140" s="111"/>
      <c r="O140" s="111"/>
      <c r="P140" s="111"/>
      <c r="Q140" s="139"/>
      <c r="R140" s="139"/>
      <c r="S140" s="142"/>
      <c r="T140" s="141"/>
      <c r="V140" s="141"/>
      <c r="W140" s="141"/>
    </row>
    <row r="141" spans="1:23" x14ac:dyDescent="0.2">
      <c r="A141" s="147"/>
      <c r="C141" s="111"/>
      <c r="D141" s="111"/>
      <c r="E141" s="111"/>
      <c r="F141" s="111"/>
      <c r="G141" s="111"/>
      <c r="H141" s="148"/>
      <c r="I141" s="148"/>
      <c r="J141" s="148"/>
      <c r="K141" s="148"/>
      <c r="L141" s="111"/>
      <c r="M141" s="111"/>
      <c r="N141" s="111"/>
      <c r="O141" s="111"/>
      <c r="P141" s="111"/>
      <c r="Q141" s="139"/>
      <c r="R141" s="139"/>
      <c r="S141" s="142"/>
      <c r="T141" s="141"/>
      <c r="V141" s="141"/>
      <c r="W141" s="141"/>
    </row>
    <row r="142" spans="1:23" x14ac:dyDescent="0.2">
      <c r="A142" s="147"/>
      <c r="H142" s="138"/>
      <c r="I142" s="138"/>
      <c r="J142" s="138"/>
      <c r="K142" s="138"/>
      <c r="L142" s="140"/>
      <c r="M142" s="140"/>
      <c r="N142" s="140"/>
      <c r="O142" s="140"/>
      <c r="P142" s="140"/>
      <c r="Q142" s="139"/>
      <c r="R142" s="139"/>
      <c r="S142" s="142"/>
      <c r="T142" s="141"/>
      <c r="V142" s="141"/>
      <c r="W142" s="141"/>
    </row>
    <row r="143" spans="1:23" x14ac:dyDescent="0.2">
      <c r="A143" s="147"/>
      <c r="H143" s="138"/>
      <c r="I143" s="138"/>
      <c r="J143" s="138"/>
      <c r="K143" s="138"/>
      <c r="Q143" s="139"/>
      <c r="R143" s="139"/>
      <c r="S143" s="142"/>
      <c r="T143" s="141"/>
      <c r="V143" s="141"/>
      <c r="W143" s="141"/>
    </row>
    <row r="144" spans="1:23" x14ac:dyDescent="0.2">
      <c r="A144" s="147"/>
      <c r="H144" s="138"/>
      <c r="I144" s="138"/>
      <c r="J144" s="138"/>
      <c r="K144" s="138"/>
      <c r="Q144" s="139"/>
      <c r="R144" s="139"/>
      <c r="S144" s="142"/>
      <c r="T144" s="141"/>
      <c r="V144" s="141"/>
      <c r="W144" s="141"/>
    </row>
    <row r="145" spans="1:23" x14ac:dyDescent="0.2">
      <c r="A145" s="147"/>
      <c r="H145" s="138"/>
      <c r="I145" s="138"/>
      <c r="J145" s="138"/>
      <c r="K145" s="138"/>
      <c r="Q145" s="139"/>
      <c r="R145" s="139"/>
      <c r="S145" s="142"/>
      <c r="T145" s="141"/>
      <c r="V145" s="141"/>
      <c r="W145" s="141"/>
    </row>
    <row r="146" spans="1:23" x14ac:dyDescent="0.2">
      <c r="A146" s="147"/>
      <c r="C146" s="111"/>
      <c r="D146" s="111"/>
      <c r="E146" s="111"/>
      <c r="F146" s="111"/>
      <c r="G146" s="111"/>
      <c r="H146" s="148"/>
      <c r="I146" s="148"/>
      <c r="J146" s="148"/>
      <c r="K146" s="148"/>
      <c r="L146" s="111"/>
      <c r="M146" s="148"/>
      <c r="N146" s="148"/>
      <c r="O146" s="148"/>
      <c r="P146" s="148"/>
      <c r="Q146" s="139"/>
      <c r="R146" s="139"/>
      <c r="S146" s="142"/>
      <c r="T146" s="141"/>
      <c r="V146" s="141"/>
      <c r="W146" s="141"/>
    </row>
    <row r="147" spans="1:23" x14ac:dyDescent="0.2">
      <c r="A147" s="147"/>
      <c r="C147" s="111"/>
      <c r="D147" s="111"/>
      <c r="E147" s="111"/>
      <c r="F147" s="111"/>
      <c r="G147" s="111"/>
      <c r="H147" s="148"/>
      <c r="I147" s="148"/>
      <c r="J147" s="148"/>
      <c r="K147" s="148"/>
      <c r="L147" s="111"/>
      <c r="M147" s="148"/>
      <c r="N147" s="148"/>
      <c r="O147" s="148"/>
      <c r="P147" s="148"/>
      <c r="Q147" s="139"/>
      <c r="R147" s="139"/>
      <c r="S147" s="142"/>
      <c r="T147" s="141"/>
      <c r="V147" s="141"/>
      <c r="W147" s="141"/>
    </row>
    <row r="148" spans="1:23" x14ac:dyDescent="0.2">
      <c r="A148" s="147"/>
      <c r="H148" s="138"/>
      <c r="I148" s="138"/>
      <c r="J148" s="138"/>
      <c r="K148" s="138"/>
      <c r="L148" s="140"/>
      <c r="M148" s="142"/>
      <c r="N148" s="142"/>
      <c r="O148" s="142"/>
      <c r="P148" s="142"/>
      <c r="Q148" s="139"/>
      <c r="R148" s="139"/>
      <c r="S148" s="142"/>
      <c r="T148" s="141"/>
      <c r="V148" s="141"/>
      <c r="W148" s="141"/>
    </row>
    <row r="149" spans="1:23" x14ac:dyDescent="0.2">
      <c r="A149" s="147"/>
      <c r="H149" s="138"/>
      <c r="I149" s="138"/>
      <c r="J149" s="138"/>
      <c r="K149" s="138"/>
      <c r="Q149" s="139"/>
      <c r="R149" s="139"/>
      <c r="S149" s="142"/>
      <c r="T149" s="141"/>
      <c r="V149" s="141"/>
      <c r="W149" s="141"/>
    </row>
    <row r="150" spans="1:23" x14ac:dyDescent="0.2">
      <c r="A150" s="147"/>
      <c r="C150" s="111"/>
      <c r="D150" s="111"/>
      <c r="E150" s="111"/>
      <c r="F150" s="111"/>
      <c r="G150" s="111"/>
      <c r="H150" s="148"/>
      <c r="I150" s="148"/>
      <c r="J150" s="148"/>
      <c r="K150" s="148"/>
      <c r="L150" s="111"/>
      <c r="M150" s="148"/>
      <c r="N150" s="111"/>
      <c r="O150" s="148"/>
      <c r="P150" s="111"/>
      <c r="Q150" s="139"/>
      <c r="R150" s="139"/>
      <c r="S150" s="142"/>
      <c r="T150" s="141"/>
      <c r="V150" s="141"/>
      <c r="W150" s="141"/>
    </row>
    <row r="151" spans="1:23" x14ac:dyDescent="0.2">
      <c r="A151" s="147"/>
      <c r="C151" s="111"/>
      <c r="E151" s="111"/>
      <c r="F151" s="111"/>
      <c r="G151" s="111"/>
      <c r="H151" s="148"/>
      <c r="I151" s="148"/>
      <c r="J151" s="148"/>
      <c r="K151" s="148"/>
      <c r="L151" s="111"/>
      <c r="M151" s="148"/>
      <c r="N151" s="111"/>
      <c r="O151" s="148"/>
      <c r="P151" s="111"/>
      <c r="Q151" s="139"/>
      <c r="R151" s="139"/>
      <c r="S151" s="142"/>
      <c r="T151" s="141"/>
      <c r="V151" s="141"/>
      <c r="W151" s="141"/>
    </row>
    <row r="152" spans="1:23" x14ac:dyDescent="0.2">
      <c r="A152" s="147"/>
      <c r="H152" s="138"/>
      <c r="I152" s="138"/>
      <c r="J152" s="138"/>
      <c r="K152" s="138"/>
      <c r="L152" s="140"/>
      <c r="M152" s="141"/>
      <c r="N152" s="142"/>
      <c r="O152" s="141"/>
      <c r="P152" s="142"/>
      <c r="Q152" s="139"/>
      <c r="R152" s="139"/>
      <c r="S152" s="142"/>
      <c r="T152" s="141"/>
      <c r="V152" s="141"/>
      <c r="W152" s="141"/>
    </row>
    <row r="153" spans="1:23" x14ac:dyDescent="0.2">
      <c r="A153" s="147"/>
      <c r="D153" s="150"/>
      <c r="E153" s="150"/>
      <c r="F153" s="150"/>
      <c r="G153" s="150"/>
      <c r="H153" s="150"/>
      <c r="I153" s="150"/>
      <c r="J153" s="150"/>
      <c r="K153" s="150"/>
      <c r="L153" s="151"/>
      <c r="M153" s="152"/>
      <c r="N153" s="153"/>
      <c r="O153" s="152"/>
      <c r="P153" s="153"/>
      <c r="Q153" s="139"/>
      <c r="R153" s="139"/>
      <c r="S153" s="142"/>
      <c r="T153" s="141"/>
      <c r="V153" s="141"/>
      <c r="W153" s="141"/>
    </row>
    <row r="154" spans="1:23" x14ac:dyDescent="0.2">
      <c r="A154" s="156"/>
      <c r="D154" s="150"/>
      <c r="E154" s="150"/>
      <c r="F154" s="150"/>
      <c r="G154" s="150"/>
      <c r="H154" s="150"/>
      <c r="I154" s="150"/>
      <c r="J154" s="150"/>
      <c r="K154" s="150"/>
      <c r="L154" s="151"/>
      <c r="M154" s="152"/>
      <c r="N154" s="153"/>
      <c r="O154" s="152"/>
      <c r="P154" s="153"/>
      <c r="Q154" s="139"/>
      <c r="R154" s="139"/>
      <c r="S154" s="142"/>
      <c r="T154" s="141"/>
      <c r="V154" s="141"/>
      <c r="W154" s="141"/>
    </row>
    <row r="155" spans="1:23" x14ac:dyDescent="0.2">
      <c r="A155" s="156"/>
      <c r="D155" s="150"/>
      <c r="E155" s="150"/>
      <c r="F155" s="150"/>
      <c r="G155" s="150"/>
      <c r="H155" s="150"/>
      <c r="I155" s="150"/>
      <c r="J155" s="150"/>
      <c r="K155" s="150"/>
      <c r="L155" s="151"/>
      <c r="M155" s="152"/>
      <c r="N155" s="153"/>
      <c r="O155" s="152"/>
      <c r="P155" s="153"/>
      <c r="Q155" s="139"/>
      <c r="R155" s="139"/>
      <c r="S155" s="142"/>
      <c r="T155" s="141"/>
      <c r="V155" s="141"/>
      <c r="W155" s="141"/>
    </row>
    <row r="156" spans="1:23" x14ac:dyDescent="0.2">
      <c r="A156" s="156"/>
      <c r="D156" s="150"/>
      <c r="E156" s="150"/>
      <c r="F156" s="150"/>
      <c r="G156" s="150"/>
      <c r="H156" s="150"/>
      <c r="I156" s="150"/>
      <c r="J156" s="150"/>
      <c r="K156" s="150"/>
      <c r="L156" s="151"/>
      <c r="M156" s="152"/>
      <c r="N156" s="153"/>
      <c r="O156" s="152"/>
      <c r="P156" s="153"/>
      <c r="Q156" s="139"/>
      <c r="R156" s="139"/>
      <c r="S156" s="142"/>
      <c r="T156" s="141"/>
      <c r="V156" s="141"/>
      <c r="W156" s="141"/>
    </row>
    <row r="157" spans="1:23" x14ac:dyDescent="0.2">
      <c r="A157" s="156"/>
      <c r="D157" s="150"/>
      <c r="E157" s="150"/>
      <c r="F157" s="150"/>
      <c r="G157" s="150"/>
      <c r="H157" s="150"/>
      <c r="I157" s="150"/>
      <c r="J157" s="150"/>
      <c r="K157" s="150"/>
      <c r="L157" s="151"/>
      <c r="M157" s="152"/>
      <c r="N157" s="153"/>
      <c r="O157" s="152"/>
      <c r="P157" s="153"/>
      <c r="Q157" s="139"/>
      <c r="R157" s="139"/>
      <c r="S157" s="142"/>
      <c r="T157" s="141"/>
      <c r="V157" s="141"/>
      <c r="W157" s="141"/>
    </row>
    <row r="158" spans="1:23" x14ac:dyDescent="0.2">
      <c r="A158" s="156"/>
      <c r="H158" s="138"/>
      <c r="I158" s="138"/>
      <c r="J158" s="138"/>
      <c r="K158" s="138"/>
      <c r="L158" s="140"/>
      <c r="M158" s="141"/>
      <c r="N158" s="142"/>
      <c r="O158" s="141"/>
      <c r="P158" s="142"/>
      <c r="Q158" s="139"/>
      <c r="R158" s="139"/>
      <c r="S158" s="142"/>
      <c r="T158" s="141"/>
      <c r="V158" s="141"/>
      <c r="W158" s="141"/>
    </row>
    <row r="159" spans="1:23" x14ac:dyDescent="0.2">
      <c r="A159" s="137"/>
      <c r="H159" s="138"/>
      <c r="I159" s="138"/>
      <c r="J159" s="138"/>
      <c r="K159" s="138"/>
      <c r="L159" s="155"/>
      <c r="M159" s="139"/>
      <c r="N159" s="138"/>
      <c r="O159" s="139"/>
      <c r="P159" s="138"/>
      <c r="Q159" s="139"/>
      <c r="R159" s="141"/>
      <c r="S159" s="141"/>
      <c r="T159" s="141"/>
      <c r="V159" s="141"/>
      <c r="W159" s="141"/>
    </row>
    <row r="160" spans="1:23" x14ac:dyDescent="0.2">
      <c r="A160" s="147"/>
      <c r="H160" s="138"/>
      <c r="I160" s="138"/>
      <c r="J160" s="138"/>
      <c r="K160" s="138"/>
      <c r="Q160" s="139"/>
      <c r="R160" s="142"/>
      <c r="S160" s="141"/>
      <c r="T160" s="141"/>
      <c r="V160" s="141"/>
      <c r="W160" s="141"/>
    </row>
    <row r="161" spans="1:23" x14ac:dyDescent="0.2">
      <c r="A161" s="147"/>
      <c r="H161" s="138"/>
      <c r="I161" s="138"/>
      <c r="J161" s="138"/>
      <c r="K161" s="138"/>
      <c r="Q161" s="139"/>
      <c r="R161" s="142"/>
      <c r="S161" s="141"/>
      <c r="T161" s="141"/>
      <c r="V161" s="141"/>
      <c r="W161" s="141"/>
    </row>
    <row r="162" spans="1:23" x14ac:dyDescent="0.2">
      <c r="A162" s="147"/>
      <c r="B162" s="111" t="s">
        <v>198</v>
      </c>
      <c r="C162" s="111" t="s">
        <v>199</v>
      </c>
      <c r="D162" s="111" t="s">
        <v>200</v>
      </c>
      <c r="E162" s="111" t="s">
        <v>201</v>
      </c>
      <c r="F162" s="111" t="s">
        <v>201</v>
      </c>
      <c r="G162" s="111"/>
      <c r="H162" s="148" t="s">
        <v>104</v>
      </c>
      <c r="I162" s="148" t="s">
        <v>202</v>
      </c>
      <c r="J162" s="148" t="s">
        <v>203</v>
      </c>
      <c r="K162" s="148" t="s">
        <v>204</v>
      </c>
      <c r="L162" s="111" t="s">
        <v>205</v>
      </c>
      <c r="M162" s="111" t="s">
        <v>205</v>
      </c>
      <c r="N162" s="111" t="s">
        <v>205</v>
      </c>
      <c r="O162" s="111" t="s">
        <v>205</v>
      </c>
      <c r="P162" s="111" t="s">
        <v>205</v>
      </c>
      <c r="Q162" s="139" t="s">
        <v>206</v>
      </c>
      <c r="R162" s="142"/>
      <c r="S162" s="141"/>
      <c r="T162" s="141"/>
      <c r="V162" s="141"/>
      <c r="W162" s="141"/>
    </row>
    <row r="163" spans="1:23" x14ac:dyDescent="0.2">
      <c r="A163" s="147" t="s">
        <v>207</v>
      </c>
      <c r="B163" s="111" t="s">
        <v>208</v>
      </c>
      <c r="C163" s="111" t="s">
        <v>208</v>
      </c>
      <c r="D163" s="111" t="s">
        <v>208</v>
      </c>
      <c r="E163" s="111" t="s">
        <v>208</v>
      </c>
      <c r="F163" s="111" t="s">
        <v>208</v>
      </c>
      <c r="G163" s="111"/>
      <c r="H163" s="148" t="s">
        <v>59</v>
      </c>
      <c r="I163" s="148" t="s">
        <v>59</v>
      </c>
      <c r="J163" s="148" t="s">
        <v>209</v>
      </c>
      <c r="K163" s="148" t="s">
        <v>5</v>
      </c>
      <c r="L163" s="111" t="s">
        <v>210</v>
      </c>
      <c r="M163" s="111" t="s">
        <v>211</v>
      </c>
      <c r="N163" s="111" t="s">
        <v>212</v>
      </c>
      <c r="O163" s="111" t="s">
        <v>211</v>
      </c>
      <c r="P163" s="111" t="s">
        <v>212</v>
      </c>
      <c r="Q163" s="139"/>
      <c r="R163" s="142"/>
      <c r="S163" s="141"/>
      <c r="T163" s="141"/>
      <c r="V163" s="141"/>
      <c r="W163" s="141"/>
    </row>
    <row r="164" spans="1:23" x14ac:dyDescent="0.2">
      <c r="A164" s="147"/>
      <c r="B164" s="111">
        <v>1.2</v>
      </c>
      <c r="C164" s="7">
        <v>0.3</v>
      </c>
      <c r="D164" s="7">
        <v>10.69</v>
      </c>
      <c r="E164" s="7">
        <v>1.5</v>
      </c>
      <c r="F164" s="7">
        <v>1.5</v>
      </c>
      <c r="H164" s="138">
        <f>B164*D164*E164</f>
        <v>19.241999999999997</v>
      </c>
      <c r="I164" s="138">
        <f>H164-J164</f>
        <v>15.393599999999998</v>
      </c>
      <c r="J164" s="138">
        <f>B164*C164*D164</f>
        <v>3.8483999999999998</v>
      </c>
      <c r="K164" s="138">
        <f>C164*2*D164</f>
        <v>6.4139999999999997</v>
      </c>
      <c r="L164" s="140">
        <f>D164/0.4+1</f>
        <v>27.724999999999998</v>
      </c>
      <c r="M164" s="140">
        <f>B164/0.3+1</f>
        <v>5</v>
      </c>
      <c r="N164" s="140">
        <f>B164/0.4+1</f>
        <v>3.9999999999999996</v>
      </c>
      <c r="O164" s="140">
        <f>D164/0.3+1</f>
        <v>36.633333333333333</v>
      </c>
      <c r="P164" s="140">
        <f>D164/0.4+1</f>
        <v>27.724999999999998</v>
      </c>
      <c r="Q164" s="139"/>
      <c r="R164" s="142"/>
      <c r="S164" s="141"/>
      <c r="T164" s="141"/>
      <c r="V164" s="141"/>
      <c r="W164" s="141"/>
    </row>
    <row r="165" spans="1:23" x14ac:dyDescent="0.2">
      <c r="A165" s="147"/>
      <c r="B165" s="111">
        <v>0.25</v>
      </c>
      <c r="C165" s="7">
        <v>0.2</v>
      </c>
      <c r="D165" s="7">
        <v>10.69</v>
      </c>
      <c r="H165" s="138">
        <f>B165*C165*D165</f>
        <v>0.53449999999999998</v>
      </c>
      <c r="I165" s="138"/>
      <c r="J165" s="138">
        <f>B165*C165*D165</f>
        <v>0.53449999999999998</v>
      </c>
      <c r="K165" s="138"/>
      <c r="Q165" s="139"/>
      <c r="R165" s="141"/>
      <c r="S165" s="141"/>
      <c r="T165" s="141"/>
      <c r="V165" s="141"/>
      <c r="W165" s="141"/>
    </row>
    <row r="166" spans="1:23" x14ac:dyDescent="0.2">
      <c r="A166" s="147"/>
      <c r="H166" s="138">
        <f>SUM(H164:H165)</f>
        <v>19.776499999999999</v>
      </c>
      <c r="I166" s="138">
        <f>SUM(I164:I165)</f>
        <v>15.393599999999998</v>
      </c>
      <c r="J166" s="138">
        <f>SUM(J164:J165)</f>
        <v>4.3828999999999994</v>
      </c>
      <c r="K166" s="138">
        <f>SUM(K164:K165)</f>
        <v>6.4139999999999997</v>
      </c>
      <c r="Q166" s="139"/>
      <c r="R166" s="141"/>
      <c r="S166" s="141"/>
      <c r="T166" s="141"/>
      <c r="V166" s="141"/>
      <c r="W166" s="141"/>
    </row>
    <row r="167" spans="1:23" x14ac:dyDescent="0.2">
      <c r="A167" s="147"/>
      <c r="H167" s="138"/>
      <c r="I167" s="138"/>
      <c r="J167" s="138"/>
      <c r="K167" s="138"/>
      <c r="Q167" s="139" t="s">
        <v>213</v>
      </c>
      <c r="R167" s="141"/>
      <c r="S167" s="141"/>
      <c r="T167" s="141"/>
      <c r="V167" s="141"/>
      <c r="W167" s="141"/>
    </row>
    <row r="168" spans="1:23" x14ac:dyDescent="0.2">
      <c r="A168" s="147" t="s">
        <v>214</v>
      </c>
      <c r="B168" s="111" t="s">
        <v>198</v>
      </c>
      <c r="C168" s="111" t="s">
        <v>199</v>
      </c>
      <c r="D168" s="111" t="s">
        <v>200</v>
      </c>
      <c r="E168" s="111" t="s">
        <v>201</v>
      </c>
      <c r="F168" s="111" t="s">
        <v>201</v>
      </c>
      <c r="G168" s="111"/>
      <c r="H168" s="148" t="s">
        <v>104</v>
      </c>
      <c r="I168" s="148" t="s">
        <v>202</v>
      </c>
      <c r="J168" s="148" t="s">
        <v>203</v>
      </c>
      <c r="K168" s="148" t="s">
        <v>204</v>
      </c>
      <c r="L168" s="111" t="s">
        <v>205</v>
      </c>
      <c r="M168" s="148" t="s">
        <v>215</v>
      </c>
      <c r="N168" s="148" t="s">
        <v>216</v>
      </c>
      <c r="O168" s="148" t="s">
        <v>215</v>
      </c>
      <c r="P168" s="148" t="s">
        <v>216</v>
      </c>
      <c r="Q168" s="139" t="s">
        <v>217</v>
      </c>
      <c r="R168" s="139" t="s">
        <v>218</v>
      </c>
      <c r="S168" s="141"/>
      <c r="T168" s="141"/>
      <c r="V168" s="141"/>
      <c r="W168" s="141"/>
    </row>
    <row r="169" spans="1:23" x14ac:dyDescent="0.2">
      <c r="A169" s="147"/>
      <c r="B169" s="111" t="s">
        <v>208</v>
      </c>
      <c r="C169" s="111" t="s">
        <v>208</v>
      </c>
      <c r="D169" s="111" t="s">
        <v>208</v>
      </c>
      <c r="E169" s="111" t="s">
        <v>208</v>
      </c>
      <c r="F169" s="111" t="s">
        <v>208</v>
      </c>
      <c r="G169" s="111"/>
      <c r="H169" s="148" t="s">
        <v>59</v>
      </c>
      <c r="I169" s="148" t="s">
        <v>59</v>
      </c>
      <c r="J169" s="148" t="s">
        <v>209</v>
      </c>
      <c r="K169" s="148" t="s">
        <v>5</v>
      </c>
      <c r="L169" s="111" t="s">
        <v>219</v>
      </c>
      <c r="M169" s="148" t="s">
        <v>220</v>
      </c>
      <c r="N169" s="148" t="s">
        <v>220</v>
      </c>
      <c r="O169" s="148" t="s">
        <v>220</v>
      </c>
      <c r="P169" s="148" t="s">
        <v>220</v>
      </c>
      <c r="Q169" s="139" t="s">
        <v>5</v>
      </c>
      <c r="R169" s="139" t="s">
        <v>221</v>
      </c>
      <c r="S169" s="141"/>
      <c r="T169" s="141"/>
      <c r="V169" s="141"/>
      <c r="W169" s="141"/>
    </row>
    <row r="170" spans="1:23" x14ac:dyDescent="0.2">
      <c r="A170" s="147"/>
      <c r="B170" s="111">
        <v>0.3</v>
      </c>
      <c r="C170" s="7">
        <v>3.65</v>
      </c>
      <c r="D170" s="7">
        <v>10.69</v>
      </c>
      <c r="H170" s="138">
        <f>(B170+2)*C170*D170</f>
        <v>89.742549999999994</v>
      </c>
      <c r="I170" s="138">
        <f>H170-J170</f>
        <v>78.036999999999992</v>
      </c>
      <c r="J170" s="138">
        <f>B170*C170*D170</f>
        <v>11.705549999999999</v>
      </c>
      <c r="K170" s="138">
        <f>C170*2*D170</f>
        <v>78.036999999999992</v>
      </c>
      <c r="L170" s="140">
        <f>D170/0.2+1</f>
        <v>54.449999999999996</v>
      </c>
      <c r="M170" s="142">
        <f>(C170+0.7)*L170*3.28*0.668/2000</f>
        <v>0.25948212839999996</v>
      </c>
      <c r="N170" s="142">
        <f>(C170+0.7)*L170*3.28*1.04/2000</f>
        <v>0.40398415199999987</v>
      </c>
      <c r="O170" s="142">
        <f>(E170+0.7)*N170*3.28*0.668/2000</f>
        <v>3.0980090273932789E-4</v>
      </c>
      <c r="P170" s="142">
        <f>(E170+0.7)*N170*3.28*1.04/2000</f>
        <v>4.8232475875583975E-4</v>
      </c>
      <c r="Q170" s="139" t="e">
        <f>#REF!</f>
        <v>#REF!</v>
      </c>
      <c r="R170" s="154">
        <f>D170/10+2</f>
        <v>3.069</v>
      </c>
      <c r="S170" s="141"/>
      <c r="T170" s="141"/>
      <c r="V170" s="141"/>
      <c r="W170" s="141"/>
    </row>
    <row r="171" spans="1:23" x14ac:dyDescent="0.2">
      <c r="A171" s="147"/>
      <c r="D171" s="7">
        <v>10.69</v>
      </c>
      <c r="H171" s="138"/>
      <c r="I171" s="138"/>
      <c r="J171" s="138"/>
      <c r="K171" s="138"/>
      <c r="Q171" s="139"/>
      <c r="R171" s="141"/>
      <c r="S171" s="141"/>
      <c r="T171" s="141"/>
      <c r="V171" s="141"/>
      <c r="W171" s="141"/>
    </row>
    <row r="172" spans="1:23" x14ac:dyDescent="0.2">
      <c r="A172" s="147" t="s">
        <v>222</v>
      </c>
      <c r="B172" s="111" t="s">
        <v>198</v>
      </c>
      <c r="C172" s="111" t="s">
        <v>199</v>
      </c>
      <c r="D172" s="111" t="s">
        <v>200</v>
      </c>
      <c r="E172" s="111" t="s">
        <v>201</v>
      </c>
      <c r="F172" s="111" t="s">
        <v>201</v>
      </c>
      <c r="G172" s="111"/>
      <c r="H172" s="148" t="s">
        <v>223</v>
      </c>
      <c r="I172" s="148" t="s">
        <v>224</v>
      </c>
      <c r="J172" s="148" t="s">
        <v>203</v>
      </c>
      <c r="K172" s="148" t="s">
        <v>204</v>
      </c>
      <c r="L172" s="111" t="s">
        <v>205</v>
      </c>
      <c r="M172" s="148" t="s">
        <v>215</v>
      </c>
      <c r="N172" s="111" t="s">
        <v>225</v>
      </c>
      <c r="O172" s="148" t="s">
        <v>215</v>
      </c>
      <c r="P172" s="111" t="s">
        <v>225</v>
      </c>
      <c r="Q172" s="139" t="s">
        <v>226</v>
      </c>
      <c r="R172" s="141"/>
      <c r="S172" s="141"/>
      <c r="T172" s="141"/>
      <c r="V172" s="141"/>
      <c r="W172" s="141"/>
    </row>
    <row r="173" spans="1:23" x14ac:dyDescent="0.2">
      <c r="A173" s="147"/>
      <c r="B173" s="111" t="s">
        <v>208</v>
      </c>
      <c r="C173" s="111" t="s">
        <v>208</v>
      </c>
      <c r="D173" s="111" t="s">
        <v>208</v>
      </c>
      <c r="E173" s="111" t="s">
        <v>208</v>
      </c>
      <c r="F173" s="111" t="s">
        <v>208</v>
      </c>
      <c r="G173" s="111"/>
      <c r="H173" s="148" t="s">
        <v>59</v>
      </c>
      <c r="I173" s="148" t="s">
        <v>27</v>
      </c>
      <c r="J173" s="148" t="s">
        <v>209</v>
      </c>
      <c r="K173" s="148" t="s">
        <v>5</v>
      </c>
      <c r="L173" s="111" t="s">
        <v>227</v>
      </c>
      <c r="M173" s="148" t="s">
        <v>220</v>
      </c>
      <c r="N173" s="111" t="s">
        <v>221</v>
      </c>
      <c r="O173" s="148" t="s">
        <v>220</v>
      </c>
      <c r="P173" s="111" t="s">
        <v>221</v>
      </c>
      <c r="Q173" s="139" t="s">
        <v>5</v>
      </c>
      <c r="R173" s="141"/>
      <c r="S173" s="141"/>
      <c r="T173" s="141"/>
      <c r="V173" s="141"/>
      <c r="W173" s="141"/>
    </row>
    <row r="174" spans="1:23" x14ac:dyDescent="0.2">
      <c r="A174" s="147"/>
      <c r="B174" s="111">
        <v>0</v>
      </c>
      <c r="C174" s="7">
        <v>0</v>
      </c>
      <c r="D174" s="7">
        <v>10.69</v>
      </c>
      <c r="E174" s="7">
        <v>0</v>
      </c>
      <c r="F174" s="7">
        <v>0</v>
      </c>
      <c r="H174" s="138">
        <f>0.3*0.6*D174</f>
        <v>1.9241999999999999</v>
      </c>
      <c r="I174" s="138">
        <f>D174</f>
        <v>10.69</v>
      </c>
      <c r="J174" s="138">
        <f>B174*C174*D174</f>
        <v>0</v>
      </c>
      <c r="K174" s="138">
        <f>C174*2*D174</f>
        <v>0</v>
      </c>
      <c r="L174" s="140">
        <v>2</v>
      </c>
      <c r="M174" s="141">
        <f>D174*L174*3.28*0.668/2000</f>
        <v>2.3422217599999996E-2</v>
      </c>
      <c r="N174" s="142">
        <f>D174/0.4+1</f>
        <v>27.724999999999998</v>
      </c>
      <c r="O174" s="141">
        <f>G174*N174*3.28*0.668/2000</f>
        <v>0</v>
      </c>
      <c r="P174" s="142">
        <f>G174/0.4+1</f>
        <v>1</v>
      </c>
      <c r="Q174" s="139"/>
      <c r="R174" s="141"/>
      <c r="S174" s="141"/>
      <c r="T174" s="140"/>
      <c r="V174" s="141"/>
      <c r="W174" s="141"/>
    </row>
    <row r="175" spans="1:23" x14ac:dyDescent="0.2">
      <c r="A175" s="137"/>
      <c r="E175" s="150" t="s">
        <v>228</v>
      </c>
      <c r="F175" s="150" t="s">
        <v>228</v>
      </c>
      <c r="G175" s="150"/>
      <c r="H175" s="150">
        <f>H170+H166</f>
        <v>109.51904999999999</v>
      </c>
      <c r="I175" s="150">
        <f>I170+I166</f>
        <v>93.430599999999984</v>
      </c>
      <c r="J175" s="150">
        <f>J174+J170+J166</f>
        <v>16.088449999999998</v>
      </c>
      <c r="K175" s="150">
        <f>K174+K170+K166</f>
        <v>84.450999999999993</v>
      </c>
      <c r="L175" s="151" t="s">
        <v>229</v>
      </c>
      <c r="M175" s="152" t="e">
        <f>#REF!+M170+#REF!+M174+#REF!</f>
        <v>#REF!</v>
      </c>
      <c r="N175" s="153" t="s">
        <v>230</v>
      </c>
      <c r="O175" s="152" t="e">
        <f>#REF!+O170+#REF!+O174+#REF!</f>
        <v>#REF!</v>
      </c>
      <c r="P175" s="153" t="s">
        <v>230</v>
      </c>
      <c r="Q175" s="139"/>
      <c r="R175" s="141"/>
      <c r="S175" s="141"/>
      <c r="T175" s="140"/>
      <c r="V175" s="141"/>
      <c r="W175" s="141"/>
    </row>
    <row r="176" spans="1:23" x14ac:dyDescent="0.2">
      <c r="A176" s="137"/>
      <c r="H176" s="138"/>
      <c r="I176" s="138"/>
      <c r="J176" s="138"/>
      <c r="K176" s="138"/>
      <c r="L176" s="155"/>
      <c r="M176" s="139"/>
      <c r="O176" s="139"/>
      <c r="Q176" s="139"/>
      <c r="R176" s="141"/>
      <c r="S176" s="141"/>
      <c r="T176" s="140"/>
      <c r="V176" s="141"/>
      <c r="W176" s="141"/>
    </row>
    <row r="177" spans="1:25" x14ac:dyDescent="0.2">
      <c r="A177" s="147" t="s">
        <v>231</v>
      </c>
      <c r="H177" s="138"/>
      <c r="I177" s="138"/>
      <c r="J177" s="138"/>
      <c r="K177" s="138"/>
      <c r="L177" s="155"/>
      <c r="M177" s="139"/>
      <c r="O177" s="139"/>
      <c r="Q177" s="139"/>
      <c r="R177" s="141"/>
      <c r="S177" s="141"/>
      <c r="T177" s="140"/>
      <c r="V177" s="141"/>
      <c r="W177" s="141"/>
    </row>
    <row r="178" spans="1:25" x14ac:dyDescent="0.2">
      <c r="A178" s="147" t="s">
        <v>232</v>
      </c>
      <c r="H178" s="138"/>
      <c r="I178" s="138"/>
      <c r="J178" s="138"/>
      <c r="K178" s="138"/>
      <c r="Q178" s="139"/>
      <c r="R178" s="139"/>
      <c r="S178" s="139"/>
      <c r="T178" s="140"/>
      <c r="V178" s="141"/>
      <c r="W178" s="141"/>
    </row>
    <row r="179" spans="1:25" x14ac:dyDescent="0.2">
      <c r="A179" s="147"/>
      <c r="B179" s="111" t="s">
        <v>198</v>
      </c>
      <c r="C179" s="111" t="s">
        <v>199</v>
      </c>
      <c r="D179" s="111" t="s">
        <v>200</v>
      </c>
      <c r="E179" s="111" t="s">
        <v>201</v>
      </c>
      <c r="F179" s="111" t="s">
        <v>201</v>
      </c>
      <c r="G179" s="111"/>
      <c r="H179" s="148" t="s">
        <v>104</v>
      </c>
      <c r="I179" s="148" t="s">
        <v>202</v>
      </c>
      <c r="J179" s="148" t="s">
        <v>203</v>
      </c>
      <c r="K179" s="148" t="s">
        <v>204</v>
      </c>
      <c r="L179" s="111" t="s">
        <v>205</v>
      </c>
      <c r="M179" s="111" t="s">
        <v>205</v>
      </c>
      <c r="N179" s="111" t="s">
        <v>205</v>
      </c>
      <c r="O179" s="111" t="s">
        <v>205</v>
      </c>
      <c r="P179" s="111" t="s">
        <v>205</v>
      </c>
      <c r="Q179" s="139" t="s">
        <v>206</v>
      </c>
      <c r="R179" s="139"/>
      <c r="S179" s="139"/>
      <c r="T179" s="140"/>
      <c r="V179" s="141"/>
      <c r="W179" s="141"/>
    </row>
    <row r="180" spans="1:25" x14ac:dyDescent="0.2">
      <c r="A180" s="147" t="s">
        <v>207</v>
      </c>
      <c r="B180" s="111" t="s">
        <v>208</v>
      </c>
      <c r="C180" s="111" t="s">
        <v>208</v>
      </c>
      <c r="D180" s="111" t="s">
        <v>208</v>
      </c>
      <c r="E180" s="111" t="s">
        <v>208</v>
      </c>
      <c r="F180" s="111" t="s">
        <v>208</v>
      </c>
      <c r="G180" s="111"/>
      <c r="H180" s="148" t="s">
        <v>59</v>
      </c>
      <c r="I180" s="148" t="s">
        <v>59</v>
      </c>
      <c r="J180" s="148" t="s">
        <v>209</v>
      </c>
      <c r="K180" s="148" t="s">
        <v>5</v>
      </c>
      <c r="L180" s="111" t="s">
        <v>210</v>
      </c>
      <c r="M180" s="111" t="s">
        <v>211</v>
      </c>
      <c r="N180" s="111" t="s">
        <v>212</v>
      </c>
      <c r="O180" s="111" t="s">
        <v>211</v>
      </c>
      <c r="P180" s="111" t="s">
        <v>212</v>
      </c>
      <c r="Q180" s="139"/>
      <c r="R180" s="139"/>
      <c r="S180" s="139"/>
      <c r="T180" s="140"/>
      <c r="V180" s="141"/>
      <c r="W180" s="141"/>
    </row>
    <row r="181" spans="1:25" x14ac:dyDescent="0.2">
      <c r="A181" s="147"/>
      <c r="B181" s="111">
        <v>1.2</v>
      </c>
      <c r="C181" s="7">
        <v>0.3</v>
      </c>
      <c r="D181" s="7">
        <v>25.42</v>
      </c>
      <c r="E181" s="7">
        <v>1.5</v>
      </c>
      <c r="F181" s="7">
        <v>1.5</v>
      </c>
      <c r="H181" s="138">
        <f>B181*D181*E181</f>
        <v>45.756</v>
      </c>
      <c r="I181" s="138">
        <f>H181-J181</f>
        <v>36.604799999999997</v>
      </c>
      <c r="J181" s="138">
        <f>B181*C181*D181</f>
        <v>9.1512000000000011</v>
      </c>
      <c r="K181" s="138">
        <f>C181*2*D181</f>
        <v>15.252000000000001</v>
      </c>
      <c r="L181" s="140">
        <f>D181/0.4+1</f>
        <v>64.550000000000011</v>
      </c>
      <c r="M181" s="140">
        <f>B181/0.3+1</f>
        <v>5</v>
      </c>
      <c r="N181" s="140">
        <f>B181/0.4+1</f>
        <v>3.9999999999999996</v>
      </c>
      <c r="O181" s="140">
        <f>D181/0.3+1</f>
        <v>85.733333333333348</v>
      </c>
      <c r="P181" s="140">
        <f>D181/0.4+1</f>
        <v>64.550000000000011</v>
      </c>
      <c r="Q181" s="139"/>
      <c r="R181" s="139"/>
      <c r="S181" s="139"/>
    </row>
    <row r="182" spans="1:25" x14ac:dyDescent="0.2">
      <c r="A182" s="147"/>
      <c r="B182" s="111">
        <v>0.25</v>
      </c>
      <c r="C182" s="7">
        <v>0.2</v>
      </c>
      <c r="D182" s="7">
        <v>25.42</v>
      </c>
      <c r="H182" s="138">
        <f>B182*C182*D182</f>
        <v>1.2710000000000001</v>
      </c>
      <c r="I182" s="138"/>
      <c r="J182" s="138">
        <f>B182*C182*D182</f>
        <v>1.2710000000000001</v>
      </c>
      <c r="K182" s="138"/>
      <c r="Q182" s="139"/>
      <c r="R182" s="139"/>
      <c r="S182" s="139"/>
    </row>
    <row r="183" spans="1:25" x14ac:dyDescent="0.2">
      <c r="A183" s="147"/>
      <c r="H183" s="138">
        <f>SUM(H181:H182)</f>
        <v>47.027000000000001</v>
      </c>
      <c r="I183" s="138">
        <f>SUM(I181:I182)</f>
        <v>36.604799999999997</v>
      </c>
      <c r="J183" s="138">
        <f>SUM(J181:J182)</f>
        <v>10.422200000000002</v>
      </c>
      <c r="K183" s="138">
        <f>SUM(K181:K182)</f>
        <v>15.252000000000001</v>
      </c>
      <c r="Q183" s="139"/>
      <c r="R183" s="139"/>
      <c r="S183" s="139"/>
      <c r="T183" s="111"/>
      <c r="U183" s="111"/>
      <c r="V183" s="111"/>
      <c r="W183" s="111"/>
      <c r="X183" s="111"/>
      <c r="Y183" s="111"/>
    </row>
    <row r="184" spans="1:25" x14ac:dyDescent="0.2">
      <c r="A184" s="147"/>
      <c r="H184" s="138"/>
      <c r="I184" s="138"/>
      <c r="J184" s="138"/>
      <c r="K184" s="138"/>
      <c r="Q184" s="139" t="s">
        <v>213</v>
      </c>
      <c r="R184" s="139"/>
      <c r="S184" s="139"/>
      <c r="T184" s="111"/>
      <c r="U184" s="111"/>
      <c r="V184" s="111"/>
      <c r="W184" s="111"/>
      <c r="X184" s="111"/>
      <c r="Y184" s="111"/>
    </row>
    <row r="185" spans="1:25" x14ac:dyDescent="0.2">
      <c r="A185" s="147" t="s">
        <v>214</v>
      </c>
      <c r="B185" s="111" t="s">
        <v>198</v>
      </c>
      <c r="C185" s="111" t="s">
        <v>199</v>
      </c>
      <c r="D185" s="111" t="s">
        <v>200</v>
      </c>
      <c r="E185" s="111" t="s">
        <v>201</v>
      </c>
      <c r="F185" s="111" t="s">
        <v>201</v>
      </c>
      <c r="G185" s="111"/>
      <c r="H185" s="148" t="s">
        <v>104</v>
      </c>
      <c r="I185" s="148" t="s">
        <v>202</v>
      </c>
      <c r="J185" s="148" t="s">
        <v>203</v>
      </c>
      <c r="K185" s="148" t="s">
        <v>204</v>
      </c>
      <c r="L185" s="111" t="s">
        <v>205</v>
      </c>
      <c r="M185" s="148" t="s">
        <v>215</v>
      </c>
      <c r="N185" s="148" t="s">
        <v>216</v>
      </c>
      <c r="O185" s="148" t="s">
        <v>215</v>
      </c>
      <c r="P185" s="148" t="s">
        <v>216</v>
      </c>
      <c r="Q185" s="139" t="s">
        <v>217</v>
      </c>
      <c r="R185" s="139" t="s">
        <v>218</v>
      </c>
      <c r="S185" s="139"/>
      <c r="T185" s="138"/>
      <c r="U185" s="141"/>
    </row>
    <row r="186" spans="1:25" x14ac:dyDescent="0.2">
      <c r="A186" s="147"/>
      <c r="B186" s="111" t="s">
        <v>208</v>
      </c>
      <c r="C186" s="111" t="s">
        <v>208</v>
      </c>
      <c r="D186" s="111" t="s">
        <v>208</v>
      </c>
      <c r="E186" s="111" t="s">
        <v>208</v>
      </c>
      <c r="F186" s="111" t="s">
        <v>208</v>
      </c>
      <c r="G186" s="111"/>
      <c r="H186" s="148" t="s">
        <v>59</v>
      </c>
      <c r="I186" s="148" t="s">
        <v>59</v>
      </c>
      <c r="J186" s="148" t="s">
        <v>209</v>
      </c>
      <c r="K186" s="148" t="s">
        <v>5</v>
      </c>
      <c r="L186" s="111" t="s">
        <v>219</v>
      </c>
      <c r="M186" s="148" t="s">
        <v>220</v>
      </c>
      <c r="N186" s="148" t="s">
        <v>220</v>
      </c>
      <c r="O186" s="148" t="s">
        <v>220</v>
      </c>
      <c r="P186" s="148" t="s">
        <v>220</v>
      </c>
      <c r="Q186" s="139" t="s">
        <v>5</v>
      </c>
      <c r="R186" s="139" t="s">
        <v>221</v>
      </c>
      <c r="S186" s="139"/>
      <c r="T186" s="138"/>
      <c r="U186" s="141"/>
    </row>
    <row r="187" spans="1:25" x14ac:dyDescent="0.2">
      <c r="A187" s="147"/>
      <c r="B187" s="111">
        <v>0.3</v>
      </c>
      <c r="C187" s="7">
        <v>2.7</v>
      </c>
      <c r="D187" s="7">
        <v>25.42</v>
      </c>
      <c r="H187" s="138">
        <f>(B187+2)*C187*D187</f>
        <v>157.85820000000001</v>
      </c>
      <c r="I187" s="138">
        <f>H187-J187</f>
        <v>137.268</v>
      </c>
      <c r="J187" s="138">
        <f>B187*C187*D187</f>
        <v>20.590200000000003</v>
      </c>
      <c r="K187" s="138">
        <f>C187*2*D187</f>
        <v>137.26800000000003</v>
      </c>
      <c r="L187" s="140">
        <f>D187/0.2+1</f>
        <v>128.10000000000002</v>
      </c>
      <c r="M187" s="142">
        <f>(C187+0.7)*L187*3.28*0.668/2000</f>
        <v>0.47714278080000017</v>
      </c>
      <c r="N187" s="142">
        <f>(C187+0.7)*L187*3.28*1.04/2000</f>
        <v>0.74285702400000009</v>
      </c>
      <c r="O187" s="142">
        <f>(E187+0.7)*N187*3.28*0.668/2000</f>
        <v>5.6967030885273601E-4</v>
      </c>
      <c r="P187" s="142">
        <f>(E187+0.7)*N187*3.28*1.04/2000</f>
        <v>8.8691185809408005E-4</v>
      </c>
      <c r="Q187" s="139" t="e">
        <f>#REF!</f>
        <v>#REF!</v>
      </c>
      <c r="R187" s="139">
        <v>2</v>
      </c>
      <c r="S187" s="139"/>
      <c r="T187" s="138"/>
      <c r="U187" s="141"/>
    </row>
    <row r="188" spans="1:25" x14ac:dyDescent="0.2">
      <c r="A188" s="147"/>
      <c r="H188" s="138"/>
      <c r="I188" s="138"/>
      <c r="J188" s="138"/>
      <c r="K188" s="138"/>
      <c r="Q188" s="139"/>
      <c r="R188" s="139"/>
      <c r="S188" s="139"/>
      <c r="T188" s="138"/>
      <c r="U188" s="141"/>
    </row>
    <row r="189" spans="1:25" x14ac:dyDescent="0.2">
      <c r="A189" s="147" t="s">
        <v>222</v>
      </c>
      <c r="B189" s="111" t="s">
        <v>198</v>
      </c>
      <c r="C189" s="111" t="s">
        <v>199</v>
      </c>
      <c r="D189" s="111" t="s">
        <v>200</v>
      </c>
      <c r="E189" s="111" t="s">
        <v>201</v>
      </c>
      <c r="F189" s="111" t="s">
        <v>201</v>
      </c>
      <c r="G189" s="111"/>
      <c r="H189" s="148" t="s">
        <v>223</v>
      </c>
      <c r="I189" s="148" t="s">
        <v>224</v>
      </c>
      <c r="J189" s="148" t="s">
        <v>203</v>
      </c>
      <c r="K189" s="148" t="s">
        <v>204</v>
      </c>
      <c r="L189" s="111" t="s">
        <v>205</v>
      </c>
      <c r="M189" s="148" t="s">
        <v>215</v>
      </c>
      <c r="N189" s="111" t="s">
        <v>225</v>
      </c>
      <c r="O189" s="148" t="s">
        <v>215</v>
      </c>
      <c r="P189" s="111" t="s">
        <v>225</v>
      </c>
      <c r="Q189" s="139" t="s">
        <v>226</v>
      </c>
      <c r="R189" s="139"/>
      <c r="S189" s="139"/>
      <c r="T189" s="138"/>
      <c r="U189" s="141"/>
    </row>
    <row r="190" spans="1:25" x14ac:dyDescent="0.2">
      <c r="A190" s="147"/>
      <c r="B190" s="111" t="s">
        <v>208</v>
      </c>
      <c r="C190" s="111" t="s">
        <v>208</v>
      </c>
      <c r="D190" s="111" t="s">
        <v>208</v>
      </c>
      <c r="E190" s="111" t="s">
        <v>208</v>
      </c>
      <c r="F190" s="111" t="s">
        <v>208</v>
      </c>
      <c r="G190" s="111"/>
      <c r="H190" s="148" t="s">
        <v>59</v>
      </c>
      <c r="I190" s="148" t="s">
        <v>27</v>
      </c>
      <c r="J190" s="148" t="s">
        <v>209</v>
      </c>
      <c r="K190" s="148" t="s">
        <v>5</v>
      </c>
      <c r="L190" s="111" t="s">
        <v>227</v>
      </c>
      <c r="M190" s="148" t="s">
        <v>220</v>
      </c>
      <c r="N190" s="111" t="s">
        <v>221</v>
      </c>
      <c r="O190" s="148" t="s">
        <v>220</v>
      </c>
      <c r="P190" s="111" t="s">
        <v>221</v>
      </c>
      <c r="Q190" s="139" t="s">
        <v>5</v>
      </c>
      <c r="R190" s="139"/>
      <c r="S190" s="139"/>
      <c r="T190" s="138"/>
      <c r="U190" s="141"/>
    </row>
    <row r="191" spans="1:25" x14ac:dyDescent="0.2">
      <c r="A191" s="147"/>
      <c r="B191" s="111">
        <v>0</v>
      </c>
      <c r="C191" s="7">
        <v>0</v>
      </c>
      <c r="D191" s="7">
        <v>25.42</v>
      </c>
      <c r="E191" s="7">
        <v>0</v>
      </c>
      <c r="F191" s="7">
        <v>0</v>
      </c>
      <c r="H191" s="138">
        <f>0.3*0.6*D191</f>
        <v>4.5756000000000006</v>
      </c>
      <c r="I191" s="138">
        <f>D191</f>
        <v>25.42</v>
      </c>
      <c r="J191" s="138">
        <f>B191*C191*D191</f>
        <v>0</v>
      </c>
      <c r="K191" s="138">
        <f>C191*2*D191</f>
        <v>0</v>
      </c>
      <c r="L191" s="140">
        <v>2</v>
      </c>
      <c r="M191" s="141">
        <f>D191*L191*3.28*0.668/2000</f>
        <v>5.56962368E-2</v>
      </c>
      <c r="N191" s="142">
        <f>D191/0.4+1</f>
        <v>64.550000000000011</v>
      </c>
      <c r="O191" s="141">
        <f>G191*N191*3.28*0.668/2000</f>
        <v>0</v>
      </c>
      <c r="P191" s="142">
        <f>G191/0.4+1</f>
        <v>1</v>
      </c>
      <c r="Q191" s="139"/>
      <c r="R191" s="139"/>
      <c r="S191" s="139"/>
    </row>
    <row r="192" spans="1:25" x14ac:dyDescent="0.2">
      <c r="A192" s="156"/>
      <c r="D192" s="150"/>
      <c r="E192" s="150" t="s">
        <v>228</v>
      </c>
      <c r="F192" s="150" t="s">
        <v>228</v>
      </c>
      <c r="G192" s="150"/>
      <c r="H192" s="150">
        <f>H187+H183</f>
        <v>204.8852</v>
      </c>
      <c r="I192" s="150">
        <f>I187+I183</f>
        <v>173.87279999999998</v>
      </c>
      <c r="J192" s="150">
        <f>J191+J187+J183</f>
        <v>31.012400000000007</v>
      </c>
      <c r="K192" s="150">
        <f>K191+K187+K183</f>
        <v>152.52000000000004</v>
      </c>
      <c r="L192" s="151" t="s">
        <v>229</v>
      </c>
      <c r="M192" s="152" t="e">
        <f>#REF!+M187+#REF!+M191+#REF!</f>
        <v>#REF!</v>
      </c>
      <c r="N192" s="153" t="s">
        <v>230</v>
      </c>
      <c r="O192" s="152" t="e">
        <f>#REF!+O187+#REF!+O191+#REF!</f>
        <v>#REF!</v>
      </c>
      <c r="P192" s="153" t="s">
        <v>230</v>
      </c>
      <c r="Q192" s="139"/>
      <c r="R192" s="139"/>
      <c r="S192" s="139"/>
      <c r="T192" s="111"/>
      <c r="U192" s="111"/>
      <c r="V192" s="111"/>
    </row>
    <row r="193" spans="1:22" x14ac:dyDescent="0.2">
      <c r="A193" s="156"/>
      <c r="D193" s="150"/>
      <c r="E193" s="150"/>
      <c r="F193" s="150"/>
      <c r="G193" s="150"/>
      <c r="H193" s="150"/>
      <c r="I193" s="150"/>
      <c r="J193" s="150"/>
      <c r="K193" s="150"/>
      <c r="L193" s="151"/>
      <c r="M193" s="152"/>
      <c r="N193" s="153"/>
      <c r="O193" s="152"/>
      <c r="P193" s="153"/>
      <c r="Q193" s="139"/>
      <c r="R193" s="139"/>
      <c r="S193" s="139"/>
      <c r="T193" s="111"/>
      <c r="U193" s="111"/>
      <c r="V193" s="111"/>
    </row>
    <row r="194" spans="1:22" x14ac:dyDescent="0.2">
      <c r="A194" s="156"/>
      <c r="D194" s="150"/>
      <c r="E194" s="150"/>
      <c r="F194" s="150"/>
      <c r="G194" s="150"/>
      <c r="H194" s="150">
        <f>H192+H175</f>
        <v>314.40424999999999</v>
      </c>
      <c r="I194" s="150">
        <f>I192+I175</f>
        <v>267.30339999999995</v>
      </c>
      <c r="J194" s="150">
        <f>J192+J175</f>
        <v>47.100850000000008</v>
      </c>
      <c r="K194" s="150">
        <f>K192+K175</f>
        <v>236.97100000000003</v>
      </c>
      <c r="L194" s="151"/>
      <c r="M194" s="152" t="e">
        <f>M192+M175</f>
        <v>#REF!</v>
      </c>
      <c r="N194" s="153"/>
      <c r="O194" s="152" t="e">
        <f>O192+O175</f>
        <v>#REF!</v>
      </c>
      <c r="P194" s="153"/>
      <c r="Q194" s="139"/>
      <c r="R194" s="139"/>
      <c r="S194" s="139"/>
      <c r="T194" s="111"/>
      <c r="U194" s="111"/>
      <c r="V194" s="111"/>
    </row>
    <row r="195" spans="1:22" x14ac:dyDescent="0.2">
      <c r="A195" s="156"/>
      <c r="D195" s="150"/>
      <c r="E195" s="150"/>
      <c r="F195" s="150"/>
      <c r="G195" s="150"/>
      <c r="H195" s="150"/>
      <c r="I195" s="150">
        <f>I191+I174</f>
        <v>36.11</v>
      </c>
      <c r="J195" s="150"/>
      <c r="K195" s="150"/>
      <c r="L195" s="151"/>
      <c r="M195" s="152"/>
      <c r="N195" s="153"/>
      <c r="O195" s="152"/>
      <c r="P195" s="153"/>
      <c r="Q195" s="139"/>
      <c r="R195" s="139"/>
      <c r="S195" s="139"/>
      <c r="T195" s="111"/>
      <c r="U195" s="111"/>
      <c r="V195" s="111"/>
    </row>
    <row r="196" spans="1:22" x14ac:dyDescent="0.2">
      <c r="A196" s="156"/>
      <c r="H196" s="138"/>
      <c r="I196" s="138"/>
      <c r="J196" s="138"/>
      <c r="K196" s="138"/>
      <c r="L196" s="140"/>
      <c r="M196" s="141"/>
      <c r="N196" s="142"/>
      <c r="O196" s="141"/>
      <c r="P196" s="142"/>
      <c r="Q196" s="139"/>
      <c r="R196" s="139"/>
      <c r="S196" s="139"/>
      <c r="T196" s="111"/>
      <c r="U196" s="111"/>
      <c r="V196" s="111"/>
    </row>
    <row r="197" spans="1:22" x14ac:dyDescent="0.2">
      <c r="A197" s="147" t="s">
        <v>233</v>
      </c>
      <c r="H197" s="138"/>
      <c r="I197" s="138"/>
      <c r="J197" s="138"/>
      <c r="K197" s="138"/>
      <c r="Q197" s="139"/>
      <c r="R197" s="142"/>
      <c r="S197" s="142"/>
      <c r="T197" s="141"/>
      <c r="V197" s="111"/>
    </row>
    <row r="198" spans="1:22" x14ac:dyDescent="0.2">
      <c r="A198" s="147" t="s">
        <v>232</v>
      </c>
      <c r="H198" s="138"/>
      <c r="I198" s="138"/>
      <c r="J198" s="138"/>
      <c r="K198" s="138"/>
      <c r="Q198" s="139"/>
      <c r="R198" s="142"/>
      <c r="S198" s="142"/>
      <c r="T198" s="141"/>
      <c r="V198" s="111"/>
    </row>
    <row r="199" spans="1:22" x14ac:dyDescent="0.2">
      <c r="A199" s="147"/>
      <c r="B199" s="111" t="s">
        <v>198</v>
      </c>
      <c r="C199" s="111" t="s">
        <v>199</v>
      </c>
      <c r="D199" s="111" t="s">
        <v>200</v>
      </c>
      <c r="E199" s="111" t="s">
        <v>201</v>
      </c>
      <c r="F199" s="111" t="s">
        <v>201</v>
      </c>
      <c r="G199" s="111"/>
      <c r="H199" s="148" t="s">
        <v>104</v>
      </c>
      <c r="I199" s="148" t="s">
        <v>202</v>
      </c>
      <c r="J199" s="148" t="s">
        <v>203</v>
      </c>
      <c r="K199" s="148" t="s">
        <v>204</v>
      </c>
      <c r="L199" s="111" t="s">
        <v>205</v>
      </c>
      <c r="M199" s="111" t="s">
        <v>205</v>
      </c>
      <c r="N199" s="111" t="s">
        <v>205</v>
      </c>
      <c r="O199" s="111" t="s">
        <v>205</v>
      </c>
      <c r="P199" s="111" t="s">
        <v>205</v>
      </c>
      <c r="Q199" s="139" t="s">
        <v>206</v>
      </c>
      <c r="R199" s="142"/>
      <c r="S199" s="142"/>
      <c r="T199" s="141"/>
      <c r="V199" s="111"/>
    </row>
    <row r="200" spans="1:22" x14ac:dyDescent="0.2">
      <c r="A200" s="147" t="s">
        <v>207</v>
      </c>
      <c r="B200" s="111" t="s">
        <v>208</v>
      </c>
      <c r="C200" s="111" t="s">
        <v>208</v>
      </c>
      <c r="D200" s="111" t="s">
        <v>208</v>
      </c>
      <c r="E200" s="111" t="s">
        <v>208</v>
      </c>
      <c r="F200" s="111" t="s">
        <v>208</v>
      </c>
      <c r="G200" s="111"/>
      <c r="H200" s="148" t="s">
        <v>59</v>
      </c>
      <c r="I200" s="148" t="s">
        <v>59</v>
      </c>
      <c r="J200" s="148" t="s">
        <v>209</v>
      </c>
      <c r="K200" s="148" t="s">
        <v>5</v>
      </c>
      <c r="L200" s="111" t="s">
        <v>210</v>
      </c>
      <c r="M200" s="111" t="s">
        <v>211</v>
      </c>
      <c r="N200" s="111" t="s">
        <v>212</v>
      </c>
      <c r="O200" s="111" t="s">
        <v>211</v>
      </c>
      <c r="P200" s="111" t="s">
        <v>212</v>
      </c>
      <c r="Q200" s="139"/>
      <c r="R200" s="142"/>
      <c r="S200" s="142"/>
      <c r="T200" s="141"/>
      <c r="V200" s="111"/>
    </row>
    <row r="201" spans="1:22" x14ac:dyDescent="0.2">
      <c r="A201" s="147"/>
      <c r="B201" s="111">
        <v>1.2</v>
      </c>
      <c r="C201" s="7">
        <v>0.3</v>
      </c>
      <c r="D201" s="7">
        <v>34.770000000000003</v>
      </c>
      <c r="E201" s="7">
        <v>1.5</v>
      </c>
      <c r="F201" s="7">
        <v>1.5</v>
      </c>
      <c r="H201" s="138">
        <f>B201*D201*E201</f>
        <v>62.586000000000006</v>
      </c>
      <c r="I201" s="138">
        <f>H201-J201</f>
        <v>50.068800000000003</v>
      </c>
      <c r="J201" s="138">
        <f>B201*C201*D201</f>
        <v>12.517200000000001</v>
      </c>
      <c r="K201" s="138">
        <f>C201*2*D201</f>
        <v>20.862000000000002</v>
      </c>
      <c r="L201" s="140">
        <f>D201/0.4+1</f>
        <v>87.924999999999997</v>
      </c>
      <c r="M201" s="140">
        <f>B201/0.3+1</f>
        <v>5</v>
      </c>
      <c r="N201" s="140">
        <f>B201/0.4+1</f>
        <v>3.9999999999999996</v>
      </c>
      <c r="O201" s="140">
        <f>D201/0.3+1</f>
        <v>116.90000000000002</v>
      </c>
      <c r="P201" s="140">
        <f>D201/0.4+1</f>
        <v>87.924999999999997</v>
      </c>
      <c r="Q201" s="139"/>
      <c r="R201" s="142"/>
      <c r="S201" s="142"/>
      <c r="T201" s="141"/>
      <c r="V201" s="111"/>
    </row>
    <row r="202" spans="1:22" x14ac:dyDescent="0.2">
      <c r="A202" s="147"/>
      <c r="B202" s="111">
        <v>0.25</v>
      </c>
      <c r="C202" s="7">
        <v>0.2</v>
      </c>
      <c r="D202" s="7">
        <v>34.770000000000003</v>
      </c>
      <c r="H202" s="138">
        <f>B202*C202*D202</f>
        <v>1.7385000000000002</v>
      </c>
      <c r="I202" s="138"/>
      <c r="J202" s="138">
        <f>B202*C202*D202</f>
        <v>1.7385000000000002</v>
      </c>
      <c r="K202" s="138"/>
      <c r="Q202" s="139"/>
      <c r="R202" s="141"/>
      <c r="S202" s="141"/>
      <c r="T202" s="141"/>
      <c r="V202" s="111"/>
    </row>
    <row r="203" spans="1:22" x14ac:dyDescent="0.2">
      <c r="A203" s="147"/>
      <c r="H203" s="138">
        <f>SUM(H201:H202)</f>
        <v>64.3245</v>
      </c>
      <c r="I203" s="138">
        <f>SUM(I201:I202)</f>
        <v>50.068800000000003</v>
      </c>
      <c r="J203" s="138">
        <f>SUM(J201:J202)</f>
        <v>14.255700000000001</v>
      </c>
      <c r="K203" s="138">
        <f>SUM(K201:K202)</f>
        <v>20.862000000000002</v>
      </c>
      <c r="Q203" s="139"/>
      <c r="R203" s="141"/>
      <c r="S203" s="141"/>
      <c r="T203" s="141"/>
      <c r="V203" s="111"/>
    </row>
    <row r="204" spans="1:22" x14ac:dyDescent="0.2">
      <c r="A204" s="147"/>
      <c r="H204" s="138"/>
      <c r="I204" s="138"/>
      <c r="J204" s="138"/>
      <c r="K204" s="138"/>
      <c r="Q204" s="139" t="s">
        <v>213</v>
      </c>
      <c r="R204" s="141"/>
      <c r="S204" s="141"/>
      <c r="T204" s="141"/>
      <c r="V204" s="111"/>
    </row>
    <row r="205" spans="1:22" x14ac:dyDescent="0.2">
      <c r="A205" s="147" t="s">
        <v>214</v>
      </c>
      <c r="B205" s="111" t="s">
        <v>198</v>
      </c>
      <c r="C205" s="111" t="s">
        <v>199</v>
      </c>
      <c r="D205" s="111" t="s">
        <v>200</v>
      </c>
      <c r="E205" s="111" t="s">
        <v>201</v>
      </c>
      <c r="F205" s="111" t="s">
        <v>201</v>
      </c>
      <c r="G205" s="111"/>
      <c r="H205" s="148" t="s">
        <v>104</v>
      </c>
      <c r="I205" s="148" t="s">
        <v>202</v>
      </c>
      <c r="J205" s="148" t="s">
        <v>203</v>
      </c>
      <c r="K205" s="148" t="s">
        <v>204</v>
      </c>
      <c r="L205" s="111" t="s">
        <v>205</v>
      </c>
      <c r="M205" s="148" t="s">
        <v>215</v>
      </c>
      <c r="N205" s="148" t="s">
        <v>216</v>
      </c>
      <c r="O205" s="148" t="s">
        <v>215</v>
      </c>
      <c r="P205" s="148" t="s">
        <v>216</v>
      </c>
      <c r="Q205" s="139" t="s">
        <v>217</v>
      </c>
      <c r="R205" s="139" t="s">
        <v>218</v>
      </c>
      <c r="S205" s="141"/>
      <c r="T205" s="141"/>
      <c r="V205" s="111"/>
    </row>
    <row r="206" spans="1:22" x14ac:dyDescent="0.2">
      <c r="A206" s="147"/>
      <c r="B206" s="111" t="s">
        <v>208</v>
      </c>
      <c r="C206" s="111" t="s">
        <v>208</v>
      </c>
      <c r="D206" s="111" t="s">
        <v>208</v>
      </c>
      <c r="E206" s="111" t="s">
        <v>208</v>
      </c>
      <c r="F206" s="111" t="s">
        <v>208</v>
      </c>
      <c r="G206" s="111"/>
      <c r="H206" s="148" t="s">
        <v>59</v>
      </c>
      <c r="I206" s="148" t="s">
        <v>59</v>
      </c>
      <c r="J206" s="148" t="s">
        <v>209</v>
      </c>
      <c r="K206" s="148" t="s">
        <v>5</v>
      </c>
      <c r="L206" s="111" t="s">
        <v>219</v>
      </c>
      <c r="M206" s="148" t="s">
        <v>220</v>
      </c>
      <c r="N206" s="148" t="s">
        <v>220</v>
      </c>
      <c r="O206" s="148" t="s">
        <v>220</v>
      </c>
      <c r="P206" s="148" t="s">
        <v>220</v>
      </c>
      <c r="Q206" s="139" t="s">
        <v>5</v>
      </c>
      <c r="R206" s="139" t="s">
        <v>221</v>
      </c>
      <c r="S206" s="141"/>
      <c r="T206" s="141"/>
      <c r="V206" s="111"/>
    </row>
    <row r="207" spans="1:22" x14ac:dyDescent="0.2">
      <c r="A207" s="147"/>
      <c r="B207" s="111">
        <v>0.3</v>
      </c>
      <c r="C207" s="7">
        <v>5.9</v>
      </c>
      <c r="D207" s="7">
        <v>57.45</v>
      </c>
      <c r="H207" s="138">
        <f>(B207+2)*C207*D207</f>
        <v>779.59650000000011</v>
      </c>
      <c r="I207" s="138">
        <f>H207-J207</f>
        <v>677.91000000000008</v>
      </c>
      <c r="J207" s="138">
        <f>B207*C207*D207</f>
        <v>101.68650000000001</v>
      </c>
      <c r="K207" s="138">
        <f>C207*2*D207</f>
        <v>677.91000000000008</v>
      </c>
      <c r="L207" s="140">
        <f>D207/0.2+1</f>
        <v>288.25</v>
      </c>
      <c r="M207" s="142">
        <f>(C207+0.7)*L207*3.28*0.668/2000</f>
        <v>2.0841720239999999</v>
      </c>
      <c r="N207" s="142">
        <f>(C207+0.7)*L207*3.28*1.04/2000</f>
        <v>3.24481872</v>
      </c>
      <c r="O207" s="142">
        <f>(E207+0.7)*N207*3.28*0.668/2000</f>
        <v>2.4883346628940799E-3</v>
      </c>
      <c r="P207" s="142">
        <f>(E207+0.7)*N207*3.28*1.04/2000</f>
        <v>3.8740539661823998E-3</v>
      </c>
      <c r="Q207" s="139" t="e">
        <f>#REF!</f>
        <v>#REF!</v>
      </c>
      <c r="R207" s="154">
        <f>D207/10+2</f>
        <v>7.7450000000000001</v>
      </c>
      <c r="S207" s="141"/>
      <c r="T207" s="141"/>
      <c r="V207" s="111"/>
    </row>
    <row r="208" spans="1:22" x14ac:dyDescent="0.2">
      <c r="A208" s="147"/>
      <c r="H208" s="138"/>
      <c r="I208" s="138"/>
      <c r="J208" s="138"/>
      <c r="K208" s="138"/>
      <c r="Q208" s="139"/>
      <c r="R208" s="141"/>
      <c r="S208" s="141"/>
      <c r="T208" s="141"/>
      <c r="V208" s="111"/>
    </row>
    <row r="209" spans="1:29" x14ac:dyDescent="0.2">
      <c r="A209" s="147" t="s">
        <v>222</v>
      </c>
      <c r="B209" s="111" t="s">
        <v>198</v>
      </c>
      <c r="C209" s="111" t="s">
        <v>199</v>
      </c>
      <c r="D209" s="111" t="s">
        <v>200</v>
      </c>
      <c r="E209" s="111" t="s">
        <v>201</v>
      </c>
      <c r="F209" s="111" t="s">
        <v>201</v>
      </c>
      <c r="G209" s="111"/>
      <c r="H209" s="148" t="s">
        <v>223</v>
      </c>
      <c r="I209" s="148" t="s">
        <v>224</v>
      </c>
      <c r="J209" s="148" t="s">
        <v>203</v>
      </c>
      <c r="K209" s="148" t="s">
        <v>204</v>
      </c>
      <c r="L209" s="111" t="s">
        <v>205</v>
      </c>
      <c r="M209" s="148" t="s">
        <v>215</v>
      </c>
      <c r="N209" s="111" t="s">
        <v>225</v>
      </c>
      <c r="O209" s="148" t="s">
        <v>215</v>
      </c>
      <c r="P209" s="111" t="s">
        <v>225</v>
      </c>
      <c r="Q209" s="139" t="s">
        <v>226</v>
      </c>
      <c r="R209" s="141"/>
      <c r="S209" s="141"/>
      <c r="T209" s="141"/>
      <c r="V209" s="111"/>
    </row>
    <row r="210" spans="1:29" x14ac:dyDescent="0.2">
      <c r="A210" s="147"/>
      <c r="B210" s="111" t="s">
        <v>208</v>
      </c>
      <c r="C210" s="111" t="s">
        <v>208</v>
      </c>
      <c r="D210" s="111" t="s">
        <v>208</v>
      </c>
      <c r="E210" s="111" t="s">
        <v>208</v>
      </c>
      <c r="F210" s="111" t="s">
        <v>208</v>
      </c>
      <c r="G210" s="111"/>
      <c r="H210" s="148" t="s">
        <v>59</v>
      </c>
      <c r="I210" s="148" t="s">
        <v>27</v>
      </c>
      <c r="J210" s="148" t="s">
        <v>209</v>
      </c>
      <c r="K210" s="148" t="s">
        <v>5</v>
      </c>
      <c r="L210" s="111" t="s">
        <v>227</v>
      </c>
      <c r="M210" s="148" t="s">
        <v>220</v>
      </c>
      <c r="N210" s="111" t="s">
        <v>221</v>
      </c>
      <c r="O210" s="148" t="s">
        <v>220</v>
      </c>
      <c r="P210" s="111" t="s">
        <v>221</v>
      </c>
      <c r="Q210" s="139" t="s">
        <v>5</v>
      </c>
      <c r="R210" s="141"/>
      <c r="S210" s="141"/>
      <c r="T210" s="141"/>
      <c r="V210" s="111"/>
    </row>
    <row r="211" spans="1:29" x14ac:dyDescent="0.2">
      <c r="A211" s="147"/>
      <c r="B211" s="111">
        <v>0</v>
      </c>
      <c r="C211" s="7">
        <v>0</v>
      </c>
      <c r="D211" s="7">
        <v>34.770000000000003</v>
      </c>
      <c r="E211" s="7">
        <v>0</v>
      </c>
      <c r="F211" s="7">
        <v>0</v>
      </c>
      <c r="H211" s="138">
        <f>0.3*0.6*D211</f>
        <v>6.2586000000000004</v>
      </c>
      <c r="I211" s="138">
        <f>D211</f>
        <v>34.770000000000003</v>
      </c>
      <c r="J211" s="138">
        <f>B211*C211*D211</f>
        <v>0</v>
      </c>
      <c r="K211" s="138">
        <f>C211*2*D211</f>
        <v>0</v>
      </c>
      <c r="L211" s="140">
        <v>2</v>
      </c>
      <c r="M211" s="141">
        <f>D211*L211*3.28*0.668/2000</f>
        <v>7.6182460800000018E-2</v>
      </c>
      <c r="N211" s="142">
        <f>D211/0.4+1</f>
        <v>87.924999999999997</v>
      </c>
      <c r="O211" s="141">
        <f>G211*N211*3.28*0.668/2000</f>
        <v>0</v>
      </c>
      <c r="P211" s="142">
        <f>G211/0.4+1</f>
        <v>1</v>
      </c>
      <c r="Q211" s="139"/>
      <c r="R211" s="141"/>
      <c r="S211" s="141"/>
      <c r="T211" s="141"/>
      <c r="V211" s="111"/>
    </row>
    <row r="212" spans="1:29" x14ac:dyDescent="0.2">
      <c r="A212" s="147"/>
      <c r="E212" s="150" t="s">
        <v>228</v>
      </c>
      <c r="F212" s="150" t="s">
        <v>228</v>
      </c>
      <c r="G212" s="150"/>
      <c r="H212" s="150">
        <f>H207+H203</f>
        <v>843.92100000000005</v>
      </c>
      <c r="I212" s="150">
        <f>I207+I203</f>
        <v>727.97880000000009</v>
      </c>
      <c r="J212" s="150">
        <f>J211+J207+J203</f>
        <v>115.94220000000001</v>
      </c>
      <c r="K212" s="150">
        <f>K211+K207+K203</f>
        <v>698.77200000000005</v>
      </c>
      <c r="L212" s="151" t="s">
        <v>229</v>
      </c>
      <c r="M212" s="152" t="e">
        <f>#REF!+M207+#REF!+M211+#REF!</f>
        <v>#REF!</v>
      </c>
      <c r="N212" s="153" t="s">
        <v>230</v>
      </c>
      <c r="O212" s="152" t="e">
        <f>#REF!+O207+#REF!+O211+#REF!</f>
        <v>#REF!</v>
      </c>
      <c r="P212" s="153" t="s">
        <v>230</v>
      </c>
      <c r="Q212" s="139"/>
      <c r="R212" s="141"/>
      <c r="S212" s="141"/>
      <c r="T212" s="141"/>
    </row>
    <row r="213" spans="1:29" x14ac:dyDescent="0.2">
      <c r="A213" s="137"/>
    </row>
    <row r="214" spans="1:29" x14ac:dyDescent="0.2">
      <c r="A214" s="147" t="s">
        <v>234</v>
      </c>
      <c r="H214" s="138"/>
      <c r="I214" s="138"/>
      <c r="J214" s="138"/>
      <c r="K214" s="138"/>
      <c r="L214" s="155"/>
      <c r="M214" s="139"/>
      <c r="O214" s="139"/>
      <c r="Q214" s="139"/>
      <c r="R214" s="141"/>
    </row>
    <row r="215" spans="1:29" x14ac:dyDescent="0.2">
      <c r="A215" s="147" t="s">
        <v>232</v>
      </c>
      <c r="H215" s="138"/>
      <c r="I215" s="138"/>
      <c r="J215" s="138"/>
      <c r="K215" s="138"/>
      <c r="Q215" s="139"/>
      <c r="R215" s="139"/>
    </row>
    <row r="216" spans="1:29" x14ac:dyDescent="0.2">
      <c r="A216" s="147"/>
      <c r="B216" s="111" t="s">
        <v>198</v>
      </c>
      <c r="C216" s="111" t="s">
        <v>199</v>
      </c>
      <c r="D216" s="111" t="s">
        <v>200</v>
      </c>
      <c r="E216" s="111" t="s">
        <v>201</v>
      </c>
      <c r="F216" s="111" t="s">
        <v>201</v>
      </c>
      <c r="G216" s="111"/>
      <c r="H216" s="148" t="s">
        <v>104</v>
      </c>
      <c r="I216" s="148" t="s">
        <v>202</v>
      </c>
      <c r="J216" s="148" t="s">
        <v>203</v>
      </c>
      <c r="K216" s="148" t="s">
        <v>204</v>
      </c>
      <c r="L216" s="111" t="s">
        <v>205</v>
      </c>
      <c r="M216" s="111" t="s">
        <v>205</v>
      </c>
      <c r="N216" s="111" t="s">
        <v>205</v>
      </c>
      <c r="O216" s="111" t="s">
        <v>205</v>
      </c>
      <c r="P216" s="111" t="s">
        <v>205</v>
      </c>
      <c r="Q216" s="139" t="s">
        <v>206</v>
      </c>
      <c r="R216" s="139"/>
      <c r="S216" s="148"/>
      <c r="T216" s="148"/>
      <c r="U216" s="111"/>
      <c r="V216" s="148"/>
      <c r="W216" s="148"/>
      <c r="X216" s="111"/>
      <c r="Y216" s="111"/>
      <c r="Z216" s="111"/>
      <c r="AA216" s="111"/>
      <c r="AB216" s="111"/>
      <c r="AC216" s="111"/>
    </row>
    <row r="217" spans="1:29" x14ac:dyDescent="0.2">
      <c r="A217" s="147" t="s">
        <v>207</v>
      </c>
      <c r="B217" s="111" t="s">
        <v>208</v>
      </c>
      <c r="C217" s="111" t="s">
        <v>208</v>
      </c>
      <c r="D217" s="111" t="s">
        <v>208</v>
      </c>
      <c r="E217" s="111" t="s">
        <v>208</v>
      </c>
      <c r="F217" s="111" t="s">
        <v>208</v>
      </c>
      <c r="G217" s="111"/>
      <c r="H217" s="148" t="s">
        <v>59</v>
      </c>
      <c r="I217" s="148" t="s">
        <v>59</v>
      </c>
      <c r="J217" s="148" t="s">
        <v>209</v>
      </c>
      <c r="K217" s="148" t="s">
        <v>5</v>
      </c>
      <c r="L217" s="111" t="s">
        <v>210</v>
      </c>
      <c r="M217" s="111" t="s">
        <v>211</v>
      </c>
      <c r="N217" s="111" t="s">
        <v>212</v>
      </c>
      <c r="O217" s="111" t="s">
        <v>211</v>
      </c>
      <c r="P217" s="111" t="s">
        <v>212</v>
      </c>
      <c r="Q217" s="139"/>
      <c r="R217" s="139"/>
      <c r="S217" s="148"/>
      <c r="T217" s="148"/>
      <c r="U217" s="111"/>
      <c r="V217" s="148"/>
      <c r="W217" s="148"/>
      <c r="X217" s="111"/>
      <c r="Y217" s="111"/>
      <c r="Z217" s="111"/>
      <c r="AA217" s="111"/>
      <c r="AB217" s="111"/>
      <c r="AC217" s="111"/>
    </row>
    <row r="218" spans="1:29" x14ac:dyDescent="0.2">
      <c r="A218" s="147"/>
      <c r="B218" s="111">
        <v>1.2</v>
      </c>
      <c r="C218" s="7">
        <v>0.3</v>
      </c>
      <c r="D218" s="7">
        <v>32.72</v>
      </c>
      <c r="E218" s="7">
        <v>1.5</v>
      </c>
      <c r="F218" s="7">
        <v>1.5</v>
      </c>
      <c r="H218" s="138">
        <f>B218*D218*E218</f>
        <v>58.895999999999994</v>
      </c>
      <c r="I218" s="138">
        <f>H218-J218</f>
        <v>47.116799999999998</v>
      </c>
      <c r="J218" s="138">
        <f>B218*C218*D218</f>
        <v>11.779199999999999</v>
      </c>
      <c r="K218" s="138">
        <f>C218*2*D218</f>
        <v>19.631999999999998</v>
      </c>
      <c r="L218" s="140">
        <f>D218/0.4+1</f>
        <v>82.8</v>
      </c>
      <c r="M218" s="140">
        <f>B218/0.3+1</f>
        <v>5</v>
      </c>
      <c r="N218" s="140">
        <f>B218/0.4+1</f>
        <v>3.9999999999999996</v>
      </c>
      <c r="O218" s="140">
        <f>D218/0.3+1</f>
        <v>110.06666666666666</v>
      </c>
      <c r="P218" s="140">
        <f>D218/0.4+1</f>
        <v>82.8</v>
      </c>
      <c r="Q218" s="139"/>
      <c r="R218" s="139"/>
      <c r="S218" s="141"/>
      <c r="T218" s="141"/>
      <c r="U218" s="140"/>
      <c r="V218" s="141"/>
      <c r="W218" s="141"/>
    </row>
    <row r="219" spans="1:29" x14ac:dyDescent="0.2">
      <c r="A219" s="147"/>
      <c r="B219" s="111">
        <v>0.25</v>
      </c>
      <c r="C219" s="7">
        <v>0.2</v>
      </c>
      <c r="D219" s="7">
        <v>32.72</v>
      </c>
      <c r="H219" s="138">
        <f>B219*C219*D219</f>
        <v>1.6360000000000001</v>
      </c>
      <c r="I219" s="138"/>
      <c r="J219" s="138">
        <f>B219*C219*D219</f>
        <v>1.6360000000000001</v>
      </c>
      <c r="K219" s="138"/>
      <c r="Q219" s="139"/>
      <c r="R219" s="139"/>
    </row>
    <row r="220" spans="1:29" x14ac:dyDescent="0.2">
      <c r="A220" s="147"/>
      <c r="H220" s="138">
        <f>SUM(H218:H219)</f>
        <v>60.531999999999996</v>
      </c>
      <c r="I220" s="138">
        <f>SUM(I218:I219)</f>
        <v>47.116799999999998</v>
      </c>
      <c r="J220" s="138">
        <f>SUM(J218:J219)</f>
        <v>13.415199999999999</v>
      </c>
      <c r="K220" s="138">
        <f>SUM(K218:K219)</f>
        <v>19.631999999999998</v>
      </c>
      <c r="Q220" s="139"/>
      <c r="R220" s="139"/>
      <c r="S220" s="111"/>
    </row>
    <row r="221" spans="1:29" x14ac:dyDescent="0.2">
      <c r="A221" s="147"/>
      <c r="H221" s="138"/>
      <c r="I221" s="138"/>
      <c r="J221" s="138"/>
      <c r="K221" s="138"/>
      <c r="Q221" s="139" t="s">
        <v>213</v>
      </c>
      <c r="R221" s="139"/>
      <c r="S221" s="157"/>
      <c r="T221" s="148"/>
    </row>
    <row r="222" spans="1:29" x14ac:dyDescent="0.2">
      <c r="A222" s="147" t="s">
        <v>214</v>
      </c>
      <c r="B222" s="111" t="s">
        <v>198</v>
      </c>
      <c r="C222" s="111" t="s">
        <v>199</v>
      </c>
      <c r="D222" s="111" t="s">
        <v>200</v>
      </c>
      <c r="E222" s="111" t="s">
        <v>201</v>
      </c>
      <c r="F222" s="111" t="s">
        <v>201</v>
      </c>
      <c r="G222" s="111"/>
      <c r="H222" s="148" t="s">
        <v>104</v>
      </c>
      <c r="I222" s="148" t="s">
        <v>202</v>
      </c>
      <c r="J222" s="148" t="s">
        <v>203</v>
      </c>
      <c r="K222" s="148" t="s">
        <v>204</v>
      </c>
      <c r="L222" s="111" t="s">
        <v>205</v>
      </c>
      <c r="M222" s="148" t="s">
        <v>215</v>
      </c>
      <c r="N222" s="148" t="s">
        <v>216</v>
      </c>
      <c r="O222" s="148" t="s">
        <v>215</v>
      </c>
      <c r="P222" s="148" t="s">
        <v>216</v>
      </c>
      <c r="Q222" s="139" t="s">
        <v>217</v>
      </c>
      <c r="R222" s="139" t="s">
        <v>218</v>
      </c>
      <c r="S222" s="142"/>
    </row>
    <row r="223" spans="1:29" x14ac:dyDescent="0.2">
      <c r="A223" s="147"/>
      <c r="B223" s="111" t="s">
        <v>208</v>
      </c>
      <c r="C223" s="111" t="s">
        <v>208</v>
      </c>
      <c r="D223" s="111" t="s">
        <v>208</v>
      </c>
      <c r="E223" s="111" t="s">
        <v>208</v>
      </c>
      <c r="F223" s="111" t="s">
        <v>208</v>
      </c>
      <c r="G223" s="111"/>
      <c r="H223" s="148" t="s">
        <v>59</v>
      </c>
      <c r="I223" s="148" t="s">
        <v>59</v>
      </c>
      <c r="J223" s="148" t="s">
        <v>209</v>
      </c>
      <c r="K223" s="148" t="s">
        <v>5</v>
      </c>
      <c r="L223" s="111" t="s">
        <v>219</v>
      </c>
      <c r="M223" s="148" t="s">
        <v>220</v>
      </c>
      <c r="N223" s="148" t="s">
        <v>220</v>
      </c>
      <c r="O223" s="148" t="s">
        <v>220</v>
      </c>
      <c r="P223" s="148" t="s">
        <v>220</v>
      </c>
      <c r="Q223" s="139" t="s">
        <v>5</v>
      </c>
      <c r="R223" s="139" t="s">
        <v>221</v>
      </c>
      <c r="S223" s="142"/>
    </row>
    <row r="224" spans="1:29" x14ac:dyDescent="0.2">
      <c r="A224" s="147"/>
      <c r="B224" s="111">
        <v>0.3</v>
      </c>
      <c r="C224" s="7">
        <v>5.98</v>
      </c>
      <c r="D224" s="7">
        <v>32.72</v>
      </c>
      <c r="H224" s="138">
        <f>(B224+2)*C224*D224</f>
        <v>450.03087999999997</v>
      </c>
      <c r="I224" s="138">
        <f>H224-J224</f>
        <v>391.33119999999997</v>
      </c>
      <c r="J224" s="138">
        <f>B224*C224*D224</f>
        <v>58.699680000000001</v>
      </c>
      <c r="K224" s="138">
        <f>C224*2*D224</f>
        <v>391.33120000000002</v>
      </c>
      <c r="L224" s="140">
        <f>D224/0.2+1</f>
        <v>164.6</v>
      </c>
      <c r="M224" s="142">
        <f>(C224+0.7)*L224*3.28*0.668/2000</f>
        <v>1.2045549145600001</v>
      </c>
      <c r="N224" s="142">
        <f>(C224+0.7)*L224*3.28*1.04/2000</f>
        <v>1.8753549567999999</v>
      </c>
      <c r="O224" s="142">
        <f>(E224+0.7)*N224*3.28*0.668/2000</f>
        <v>1.4381422035914747E-3</v>
      </c>
      <c r="P224" s="142">
        <f>(E224+0.7)*N224*3.28*1.04/2000</f>
        <v>2.2390237900226551E-3</v>
      </c>
      <c r="Q224" s="139" t="e">
        <f>#REF!</f>
        <v>#REF!</v>
      </c>
      <c r="R224" s="139">
        <v>2</v>
      </c>
    </row>
    <row r="225" spans="1:18" x14ac:dyDescent="0.2">
      <c r="A225" s="147"/>
      <c r="H225" s="138"/>
      <c r="I225" s="138"/>
      <c r="J225" s="138"/>
      <c r="K225" s="138"/>
      <c r="Q225" s="139"/>
      <c r="R225" s="139"/>
    </row>
    <row r="226" spans="1:18" x14ac:dyDescent="0.2">
      <c r="A226" s="147" t="s">
        <v>222</v>
      </c>
      <c r="B226" s="111" t="s">
        <v>198</v>
      </c>
      <c r="C226" s="111" t="s">
        <v>199</v>
      </c>
      <c r="D226" s="111" t="s">
        <v>200</v>
      </c>
      <c r="E226" s="111" t="s">
        <v>201</v>
      </c>
      <c r="F226" s="111" t="s">
        <v>201</v>
      </c>
      <c r="G226" s="111"/>
      <c r="H226" s="148" t="s">
        <v>223</v>
      </c>
      <c r="I226" s="148" t="s">
        <v>224</v>
      </c>
      <c r="J226" s="148" t="s">
        <v>203</v>
      </c>
      <c r="K226" s="148" t="s">
        <v>204</v>
      </c>
      <c r="L226" s="111" t="s">
        <v>205</v>
      </c>
      <c r="M226" s="148" t="s">
        <v>215</v>
      </c>
      <c r="N226" s="111" t="s">
        <v>225</v>
      </c>
      <c r="O226" s="148" t="s">
        <v>215</v>
      </c>
      <c r="P226" s="111" t="s">
        <v>225</v>
      </c>
      <c r="Q226" s="139" t="s">
        <v>226</v>
      </c>
      <c r="R226" s="139"/>
    </row>
    <row r="227" spans="1:18" x14ac:dyDescent="0.2">
      <c r="A227" s="147"/>
      <c r="B227" s="111" t="s">
        <v>208</v>
      </c>
      <c r="C227" s="111" t="s">
        <v>208</v>
      </c>
      <c r="D227" s="7">
        <v>32.72</v>
      </c>
      <c r="E227" s="111" t="s">
        <v>208</v>
      </c>
      <c r="F227" s="111" t="s">
        <v>208</v>
      </c>
      <c r="G227" s="111"/>
      <c r="H227" s="148" t="s">
        <v>59</v>
      </c>
      <c r="I227" s="148" t="s">
        <v>27</v>
      </c>
      <c r="J227" s="148" t="s">
        <v>209</v>
      </c>
      <c r="K227" s="148" t="s">
        <v>5</v>
      </c>
      <c r="L227" s="111" t="s">
        <v>227</v>
      </c>
      <c r="M227" s="148" t="s">
        <v>220</v>
      </c>
      <c r="N227" s="111" t="s">
        <v>221</v>
      </c>
      <c r="O227" s="148" t="s">
        <v>220</v>
      </c>
      <c r="P227" s="111" t="s">
        <v>221</v>
      </c>
      <c r="Q227" s="139" t="s">
        <v>5</v>
      </c>
      <c r="R227" s="139"/>
    </row>
    <row r="228" spans="1:18" x14ac:dyDescent="0.2">
      <c r="A228" s="147"/>
      <c r="B228" s="111">
        <v>0</v>
      </c>
      <c r="C228" s="7">
        <v>0</v>
      </c>
      <c r="D228" s="7">
        <v>32.72</v>
      </c>
      <c r="E228" s="7">
        <v>0</v>
      </c>
      <c r="F228" s="7">
        <v>0</v>
      </c>
      <c r="H228" s="138">
        <f>0.3*0.6*D228</f>
        <v>5.8895999999999997</v>
      </c>
      <c r="I228" s="138">
        <f>D228</f>
        <v>32.72</v>
      </c>
      <c r="J228" s="138">
        <f>B228*C228*D228</f>
        <v>0</v>
      </c>
      <c r="K228" s="138">
        <f>C228*2*D228</f>
        <v>0</v>
      </c>
      <c r="L228" s="140">
        <v>2</v>
      </c>
      <c r="M228" s="141">
        <f>D228*L228*3.28*0.668/2000</f>
        <v>7.1690828799999995E-2</v>
      </c>
      <c r="N228" s="142">
        <f>D228/0.4+1</f>
        <v>82.8</v>
      </c>
      <c r="O228" s="141">
        <f>G228*N228*3.28*0.668/2000</f>
        <v>0</v>
      </c>
      <c r="P228" s="142">
        <f>G228/0.4+1</f>
        <v>1</v>
      </c>
      <c r="Q228" s="139"/>
      <c r="R228" s="139"/>
    </row>
    <row r="229" spans="1:18" x14ac:dyDescent="0.2">
      <c r="A229" s="147"/>
      <c r="D229" s="150"/>
      <c r="E229" s="150" t="s">
        <v>228</v>
      </c>
      <c r="F229" s="150" t="s">
        <v>228</v>
      </c>
      <c r="G229" s="150"/>
      <c r="H229" s="150">
        <f>H224+H220</f>
        <v>510.56287999999995</v>
      </c>
      <c r="I229" s="150">
        <f>I224+I220</f>
        <v>438.44799999999998</v>
      </c>
      <c r="J229" s="150">
        <f>J228+J224+J220</f>
        <v>72.114879999999999</v>
      </c>
      <c r="K229" s="150">
        <f>K228+K224+K220</f>
        <v>410.96320000000003</v>
      </c>
      <c r="L229" s="151" t="s">
        <v>229</v>
      </c>
      <c r="M229" s="152" t="e">
        <f>#REF!+M224+#REF!+M228+#REF!</f>
        <v>#REF!</v>
      </c>
      <c r="N229" s="153" t="s">
        <v>230</v>
      </c>
      <c r="O229" s="152" t="e">
        <f>#REF!+O224+#REF!+O228+#REF!</f>
        <v>#REF!</v>
      </c>
      <c r="P229" s="153" t="s">
        <v>230</v>
      </c>
      <c r="Q229" s="139"/>
      <c r="R229" s="139"/>
    </row>
    <row r="230" spans="1:18" x14ac:dyDescent="0.2">
      <c r="A230" s="147"/>
      <c r="H230" s="138"/>
      <c r="I230" s="138"/>
      <c r="J230" s="138"/>
      <c r="K230" s="138"/>
      <c r="L230" s="140"/>
      <c r="M230" s="141"/>
      <c r="N230" s="142"/>
      <c r="O230" s="141"/>
      <c r="P230" s="142"/>
      <c r="Q230" s="139"/>
      <c r="R230" s="139"/>
    </row>
    <row r="231" spans="1:18" x14ac:dyDescent="0.2">
      <c r="A231" s="147" t="s">
        <v>235</v>
      </c>
      <c r="H231" s="138"/>
      <c r="I231" s="138"/>
      <c r="J231" s="138"/>
      <c r="K231" s="138"/>
      <c r="L231" s="155"/>
      <c r="M231" s="139"/>
      <c r="O231" s="139"/>
      <c r="Q231" s="139"/>
      <c r="R231" s="141"/>
    </row>
    <row r="232" spans="1:18" x14ac:dyDescent="0.2">
      <c r="A232" s="147" t="s">
        <v>232</v>
      </c>
      <c r="H232" s="138"/>
      <c r="I232" s="138"/>
      <c r="J232" s="138"/>
      <c r="K232" s="138"/>
      <c r="Q232" s="139"/>
      <c r="R232" s="139"/>
    </row>
    <row r="233" spans="1:18" x14ac:dyDescent="0.2">
      <c r="A233" s="147"/>
      <c r="B233" s="111" t="s">
        <v>198</v>
      </c>
      <c r="C233" s="111" t="s">
        <v>199</v>
      </c>
      <c r="D233" s="111" t="s">
        <v>200</v>
      </c>
      <c r="E233" s="111" t="s">
        <v>201</v>
      </c>
      <c r="F233" s="111" t="s">
        <v>201</v>
      </c>
      <c r="G233" s="111"/>
      <c r="H233" s="148" t="s">
        <v>104</v>
      </c>
      <c r="I233" s="148" t="s">
        <v>202</v>
      </c>
      <c r="J233" s="148" t="s">
        <v>203</v>
      </c>
      <c r="K233" s="148" t="s">
        <v>204</v>
      </c>
      <c r="L233" s="111" t="s">
        <v>205</v>
      </c>
      <c r="M233" s="111" t="s">
        <v>205</v>
      </c>
      <c r="N233" s="111" t="s">
        <v>205</v>
      </c>
      <c r="O233" s="111" t="s">
        <v>205</v>
      </c>
      <c r="P233" s="111" t="s">
        <v>205</v>
      </c>
      <c r="Q233" s="139" t="s">
        <v>206</v>
      </c>
      <c r="R233" s="139"/>
    </row>
    <row r="234" spans="1:18" x14ac:dyDescent="0.2">
      <c r="A234" s="147" t="s">
        <v>207</v>
      </c>
      <c r="B234" s="111" t="s">
        <v>208</v>
      </c>
      <c r="C234" s="111" t="s">
        <v>208</v>
      </c>
      <c r="D234" s="111" t="s">
        <v>208</v>
      </c>
      <c r="E234" s="111" t="s">
        <v>208</v>
      </c>
      <c r="F234" s="111" t="s">
        <v>208</v>
      </c>
      <c r="G234" s="111"/>
      <c r="H234" s="148" t="s">
        <v>59</v>
      </c>
      <c r="I234" s="148" t="s">
        <v>59</v>
      </c>
      <c r="J234" s="148" t="s">
        <v>209</v>
      </c>
      <c r="K234" s="148" t="s">
        <v>5</v>
      </c>
      <c r="L234" s="111" t="s">
        <v>210</v>
      </c>
      <c r="M234" s="111" t="s">
        <v>211</v>
      </c>
      <c r="N234" s="111" t="s">
        <v>212</v>
      </c>
      <c r="O234" s="111" t="s">
        <v>211</v>
      </c>
      <c r="P234" s="111" t="s">
        <v>212</v>
      </c>
      <c r="Q234" s="139"/>
      <c r="R234" s="139"/>
    </row>
    <row r="235" spans="1:18" x14ac:dyDescent="0.2">
      <c r="A235" s="147"/>
      <c r="B235" s="111">
        <v>1.2</v>
      </c>
      <c r="C235" s="7">
        <v>0.3</v>
      </c>
      <c r="D235" s="7">
        <v>17.5</v>
      </c>
      <c r="E235" s="7">
        <v>1.5</v>
      </c>
      <c r="F235" s="7">
        <v>1.5</v>
      </c>
      <c r="H235" s="138">
        <f>B235*D235*E235</f>
        <v>31.5</v>
      </c>
      <c r="I235" s="138">
        <f>H235-J235</f>
        <v>25.2</v>
      </c>
      <c r="J235" s="138">
        <f>B235*C235*D235</f>
        <v>6.3</v>
      </c>
      <c r="K235" s="138">
        <f>C235*2*D235</f>
        <v>10.5</v>
      </c>
      <c r="L235" s="140">
        <f>D235/0.4+1</f>
        <v>44.75</v>
      </c>
      <c r="M235" s="140">
        <f>B235/0.3+1</f>
        <v>5</v>
      </c>
      <c r="N235" s="140">
        <f>B235/0.4+1</f>
        <v>3.9999999999999996</v>
      </c>
      <c r="O235" s="140">
        <f>D235/0.3+1</f>
        <v>59.333333333333336</v>
      </c>
      <c r="P235" s="140">
        <f>D235/0.4+1</f>
        <v>44.75</v>
      </c>
      <c r="Q235" s="139"/>
      <c r="R235" s="139"/>
    </row>
    <row r="236" spans="1:18" x14ac:dyDescent="0.2">
      <c r="A236" s="147"/>
      <c r="B236" s="111">
        <v>0.25</v>
      </c>
      <c r="C236" s="7">
        <v>0.2</v>
      </c>
      <c r="D236" s="7">
        <v>17.5</v>
      </c>
      <c r="H236" s="138">
        <f>B236*C236*D236</f>
        <v>0.875</v>
      </c>
      <c r="I236" s="138"/>
      <c r="J236" s="138">
        <f>B236*C236*D236</f>
        <v>0.875</v>
      </c>
      <c r="K236" s="138"/>
      <c r="Q236" s="139"/>
      <c r="R236" s="139"/>
    </row>
    <row r="237" spans="1:18" x14ac:dyDescent="0.2">
      <c r="A237" s="147"/>
      <c r="H237" s="138">
        <f>SUM(H235:H236)</f>
        <v>32.375</v>
      </c>
      <c r="I237" s="138">
        <f>SUM(I235:I236)</f>
        <v>25.2</v>
      </c>
      <c r="J237" s="138">
        <f>SUM(J235:J236)</f>
        <v>7.1749999999999998</v>
      </c>
      <c r="K237" s="138">
        <f>SUM(K235:K236)</f>
        <v>10.5</v>
      </c>
      <c r="Q237" s="139"/>
      <c r="R237" s="139"/>
    </row>
    <row r="238" spans="1:18" x14ac:dyDescent="0.2">
      <c r="A238" s="147"/>
      <c r="H238" s="138"/>
      <c r="I238" s="138"/>
      <c r="J238" s="138"/>
      <c r="K238" s="138"/>
      <c r="Q238" s="139" t="s">
        <v>213</v>
      </c>
      <c r="R238" s="139"/>
    </row>
    <row r="239" spans="1:18" x14ac:dyDescent="0.2">
      <c r="A239" s="147" t="s">
        <v>214</v>
      </c>
      <c r="B239" s="111" t="s">
        <v>198</v>
      </c>
      <c r="C239" s="111" t="s">
        <v>199</v>
      </c>
      <c r="D239" s="111" t="s">
        <v>200</v>
      </c>
      <c r="E239" s="111" t="s">
        <v>201</v>
      </c>
      <c r="F239" s="111" t="s">
        <v>201</v>
      </c>
      <c r="G239" s="111"/>
      <c r="H239" s="148" t="s">
        <v>104</v>
      </c>
      <c r="I239" s="148" t="s">
        <v>202</v>
      </c>
      <c r="J239" s="148" t="s">
        <v>203</v>
      </c>
      <c r="K239" s="148" t="s">
        <v>204</v>
      </c>
      <c r="L239" s="111" t="s">
        <v>205</v>
      </c>
      <c r="M239" s="148" t="s">
        <v>215</v>
      </c>
      <c r="N239" s="148" t="s">
        <v>216</v>
      </c>
      <c r="O239" s="148" t="s">
        <v>215</v>
      </c>
      <c r="P239" s="148" t="s">
        <v>216</v>
      </c>
      <c r="Q239" s="139" t="s">
        <v>217</v>
      </c>
      <c r="R239" s="139" t="s">
        <v>218</v>
      </c>
    </row>
    <row r="240" spans="1:18" x14ac:dyDescent="0.2">
      <c r="A240" s="147"/>
      <c r="B240" s="111" t="s">
        <v>208</v>
      </c>
      <c r="C240" s="111" t="s">
        <v>208</v>
      </c>
      <c r="D240" s="111" t="s">
        <v>208</v>
      </c>
      <c r="E240" s="111" t="s">
        <v>208</v>
      </c>
      <c r="F240" s="111" t="s">
        <v>208</v>
      </c>
      <c r="G240" s="111"/>
      <c r="H240" s="148" t="s">
        <v>59</v>
      </c>
      <c r="I240" s="148" t="s">
        <v>59</v>
      </c>
      <c r="J240" s="148" t="s">
        <v>209</v>
      </c>
      <c r="K240" s="148" t="s">
        <v>5</v>
      </c>
      <c r="L240" s="111" t="s">
        <v>219</v>
      </c>
      <c r="M240" s="148" t="s">
        <v>220</v>
      </c>
      <c r="N240" s="148" t="s">
        <v>220</v>
      </c>
      <c r="O240" s="148" t="s">
        <v>220</v>
      </c>
      <c r="P240" s="148" t="s">
        <v>220</v>
      </c>
      <c r="Q240" s="139" t="s">
        <v>5</v>
      </c>
      <c r="R240" s="139" t="s">
        <v>221</v>
      </c>
    </row>
    <row r="241" spans="1:18" x14ac:dyDescent="0.2">
      <c r="A241" s="147"/>
      <c r="B241" s="111">
        <v>0.3</v>
      </c>
      <c r="C241" s="7">
        <v>5.65</v>
      </c>
      <c r="D241" s="7">
        <v>17.5</v>
      </c>
      <c r="H241" s="138">
        <f>(B241+2)*C241*D241</f>
        <v>227.41249999999999</v>
      </c>
      <c r="I241" s="138">
        <f>H241-J241</f>
        <v>197.75</v>
      </c>
      <c r="J241" s="138">
        <f>B241*C241*D241</f>
        <v>29.662500000000001</v>
      </c>
      <c r="K241" s="138">
        <f>C241*2*D241</f>
        <v>197.75</v>
      </c>
      <c r="L241" s="140">
        <f>D241/0.2+1</f>
        <v>88.5</v>
      </c>
      <c r="M241" s="142">
        <f>(C241+0.7)*L241*3.28*0.668/2000</f>
        <v>0.61565485200000003</v>
      </c>
      <c r="N241" s="142">
        <f>(C241+0.7)*L241*3.28*1.04/2000</f>
        <v>0.95850456000000006</v>
      </c>
      <c r="O241" s="142">
        <f>(E241+0.7)*N241*3.28*0.668/2000</f>
        <v>7.3504264089984002E-4</v>
      </c>
      <c r="P241" s="142">
        <f>(E241+0.7)*N241*3.28*1.04/2000</f>
        <v>1.1443777642752002E-3</v>
      </c>
      <c r="Q241" s="139" t="e">
        <f>#REF!</f>
        <v>#REF!</v>
      </c>
      <c r="R241" s="139">
        <v>2</v>
      </c>
    </row>
    <row r="242" spans="1:18" x14ac:dyDescent="0.2">
      <c r="A242" s="147"/>
      <c r="H242" s="138"/>
      <c r="I242" s="138"/>
      <c r="J242" s="138"/>
      <c r="K242" s="138"/>
      <c r="Q242" s="139"/>
      <c r="R242" s="139"/>
    </row>
    <row r="243" spans="1:18" x14ac:dyDescent="0.2">
      <c r="A243" s="147" t="s">
        <v>222</v>
      </c>
      <c r="B243" s="111" t="s">
        <v>198</v>
      </c>
      <c r="C243" s="111" t="s">
        <v>199</v>
      </c>
      <c r="D243" s="111" t="s">
        <v>200</v>
      </c>
      <c r="E243" s="111" t="s">
        <v>201</v>
      </c>
      <c r="F243" s="111" t="s">
        <v>201</v>
      </c>
      <c r="G243" s="111"/>
      <c r="H243" s="148" t="s">
        <v>223</v>
      </c>
      <c r="I243" s="148" t="s">
        <v>224</v>
      </c>
      <c r="J243" s="148" t="s">
        <v>203</v>
      </c>
      <c r="K243" s="148" t="s">
        <v>204</v>
      </c>
      <c r="L243" s="111" t="s">
        <v>205</v>
      </c>
      <c r="M243" s="148" t="s">
        <v>215</v>
      </c>
      <c r="N243" s="111" t="s">
        <v>225</v>
      </c>
      <c r="O243" s="148" t="s">
        <v>215</v>
      </c>
      <c r="P243" s="111" t="s">
        <v>225</v>
      </c>
      <c r="Q243" s="139" t="s">
        <v>226</v>
      </c>
      <c r="R243" s="139"/>
    </row>
    <row r="244" spans="1:18" x14ac:dyDescent="0.2">
      <c r="A244" s="147"/>
      <c r="B244" s="111" t="s">
        <v>208</v>
      </c>
      <c r="C244" s="111" t="s">
        <v>208</v>
      </c>
      <c r="D244" s="7">
        <v>17.5</v>
      </c>
      <c r="E244" s="111" t="s">
        <v>208</v>
      </c>
      <c r="F244" s="111" t="s">
        <v>208</v>
      </c>
      <c r="G244" s="111"/>
      <c r="H244" s="148" t="s">
        <v>59</v>
      </c>
      <c r="I244" s="148" t="s">
        <v>27</v>
      </c>
      <c r="J244" s="148" t="s">
        <v>209</v>
      </c>
      <c r="K244" s="148" t="s">
        <v>5</v>
      </c>
      <c r="L244" s="111" t="s">
        <v>227</v>
      </c>
      <c r="M244" s="148" t="s">
        <v>220</v>
      </c>
      <c r="N244" s="111" t="s">
        <v>221</v>
      </c>
      <c r="O244" s="148" t="s">
        <v>220</v>
      </c>
      <c r="P244" s="111" t="s">
        <v>221</v>
      </c>
      <c r="Q244" s="139" t="s">
        <v>5</v>
      </c>
      <c r="R244" s="139"/>
    </row>
    <row r="245" spans="1:18" x14ac:dyDescent="0.2">
      <c r="A245" s="147"/>
      <c r="B245" s="111">
        <v>0</v>
      </c>
      <c r="C245" s="7">
        <v>0</v>
      </c>
      <c r="D245" s="7">
        <v>17.5</v>
      </c>
      <c r="E245" s="7">
        <v>0</v>
      </c>
      <c r="F245" s="7">
        <v>0</v>
      </c>
      <c r="H245" s="138">
        <f>0.3*0.6*D245</f>
        <v>3.15</v>
      </c>
      <c r="I245" s="138">
        <f>D245</f>
        <v>17.5</v>
      </c>
      <c r="J245" s="138">
        <f>B245*C245*D245</f>
        <v>0</v>
      </c>
      <c r="K245" s="138">
        <f>C245*2*D245</f>
        <v>0</v>
      </c>
      <c r="L245" s="140">
        <v>2</v>
      </c>
      <c r="M245" s="141">
        <f>D245*L245*3.28*0.668/2000</f>
        <v>3.8343200000000001E-2</v>
      </c>
      <c r="N245" s="142">
        <f>D245/0.4+1</f>
        <v>44.75</v>
      </c>
      <c r="O245" s="141">
        <f>G245*N245*3.28*0.668/2000</f>
        <v>0</v>
      </c>
      <c r="P245" s="142">
        <f>G245/0.4+1</f>
        <v>1</v>
      </c>
      <c r="Q245" s="139"/>
      <c r="R245" s="139"/>
    </row>
    <row r="246" spans="1:18" x14ac:dyDescent="0.2">
      <c r="A246" s="147"/>
      <c r="D246" s="150"/>
      <c r="E246" s="150" t="s">
        <v>228</v>
      </c>
      <c r="F246" s="150" t="s">
        <v>228</v>
      </c>
      <c r="G246" s="150"/>
      <c r="H246" s="150">
        <f>H241+H237</f>
        <v>259.78750000000002</v>
      </c>
      <c r="I246" s="150">
        <f>I241+I237</f>
        <v>222.95</v>
      </c>
      <c r="J246" s="150">
        <f>J245+J241+J237</f>
        <v>36.837499999999999</v>
      </c>
      <c r="K246" s="150">
        <f>K245+K241+K237</f>
        <v>208.25</v>
      </c>
      <c r="L246" s="151" t="s">
        <v>229</v>
      </c>
      <c r="M246" s="152" t="e">
        <f>#REF!+M241+#REF!+M245+#REF!</f>
        <v>#REF!</v>
      </c>
      <c r="N246" s="153" t="s">
        <v>230</v>
      </c>
      <c r="O246" s="152" t="e">
        <f>#REF!+O241+#REF!+O245+#REF!</f>
        <v>#REF!</v>
      </c>
      <c r="P246" s="153" t="s">
        <v>230</v>
      </c>
      <c r="Q246" s="139"/>
      <c r="R246" s="139"/>
    </row>
    <row r="247" spans="1:18" x14ac:dyDescent="0.2">
      <c r="A247" s="137"/>
      <c r="B247" s="157"/>
    </row>
    <row r="248" spans="1:18" x14ac:dyDescent="0.2">
      <c r="A248" s="147" t="s">
        <v>236</v>
      </c>
      <c r="H248" s="138"/>
      <c r="I248" s="138"/>
      <c r="J248" s="138"/>
      <c r="K248" s="138"/>
      <c r="L248" s="155"/>
      <c r="M248" s="139"/>
      <c r="O248" s="139"/>
      <c r="Q248" s="139"/>
      <c r="R248" s="141"/>
    </row>
    <row r="249" spans="1:18" x14ac:dyDescent="0.2">
      <c r="A249" s="147" t="s">
        <v>232</v>
      </c>
      <c r="H249" s="138"/>
      <c r="I249" s="138"/>
      <c r="J249" s="138"/>
      <c r="K249" s="138"/>
      <c r="Q249" s="139"/>
      <c r="R249" s="139"/>
    </row>
    <row r="250" spans="1:18" x14ac:dyDescent="0.2">
      <c r="A250" s="147"/>
      <c r="B250" s="111" t="s">
        <v>198</v>
      </c>
      <c r="C250" s="111" t="s">
        <v>199</v>
      </c>
      <c r="D250" s="111" t="s">
        <v>200</v>
      </c>
      <c r="E250" s="111" t="s">
        <v>201</v>
      </c>
      <c r="F250" s="111" t="s">
        <v>201</v>
      </c>
      <c r="G250" s="111"/>
      <c r="H250" s="148" t="s">
        <v>104</v>
      </c>
      <c r="I250" s="148" t="s">
        <v>202</v>
      </c>
      <c r="J250" s="148" t="s">
        <v>203</v>
      </c>
      <c r="K250" s="148" t="s">
        <v>204</v>
      </c>
      <c r="L250" s="111" t="s">
        <v>205</v>
      </c>
      <c r="M250" s="111" t="s">
        <v>205</v>
      </c>
      <c r="N250" s="111" t="s">
        <v>205</v>
      </c>
      <c r="O250" s="111" t="s">
        <v>205</v>
      </c>
      <c r="P250" s="111" t="s">
        <v>205</v>
      </c>
      <c r="Q250" s="139" t="s">
        <v>206</v>
      </c>
      <c r="R250" s="139"/>
    </row>
    <row r="251" spans="1:18" x14ac:dyDescent="0.2">
      <c r="A251" s="147" t="s">
        <v>207</v>
      </c>
      <c r="B251" s="111" t="s">
        <v>208</v>
      </c>
      <c r="C251" s="111" t="s">
        <v>208</v>
      </c>
      <c r="D251" s="111" t="s">
        <v>208</v>
      </c>
      <c r="E251" s="111" t="s">
        <v>208</v>
      </c>
      <c r="F251" s="111" t="s">
        <v>208</v>
      </c>
      <c r="G251" s="111"/>
      <c r="H251" s="148" t="s">
        <v>59</v>
      </c>
      <c r="I251" s="148" t="s">
        <v>59</v>
      </c>
      <c r="J251" s="148" t="s">
        <v>209</v>
      </c>
      <c r="K251" s="148" t="s">
        <v>5</v>
      </c>
      <c r="L251" s="111" t="s">
        <v>210</v>
      </c>
      <c r="M251" s="111" t="s">
        <v>211</v>
      </c>
      <c r="N251" s="111" t="s">
        <v>212</v>
      </c>
      <c r="O251" s="111" t="s">
        <v>211</v>
      </c>
      <c r="P251" s="111" t="s">
        <v>212</v>
      </c>
      <c r="Q251" s="139"/>
      <c r="R251" s="139"/>
    </row>
    <row r="252" spans="1:18" x14ac:dyDescent="0.2">
      <c r="A252" s="147"/>
      <c r="B252" s="111">
        <v>1.2</v>
      </c>
      <c r="C252" s="7">
        <v>0.3</v>
      </c>
      <c r="D252" s="7">
        <v>21.4</v>
      </c>
      <c r="E252" s="7">
        <v>1.5</v>
      </c>
      <c r="F252" s="7">
        <v>1.5</v>
      </c>
      <c r="H252" s="138">
        <f>B252*D252*E252</f>
        <v>38.519999999999996</v>
      </c>
      <c r="I252" s="138">
        <f>H252-J252</f>
        <v>30.815999999999995</v>
      </c>
      <c r="J252" s="138">
        <f>B252*C252*D252</f>
        <v>7.7039999999999988</v>
      </c>
      <c r="K252" s="138">
        <f>C252*2*D252</f>
        <v>12.839999999999998</v>
      </c>
      <c r="L252" s="140">
        <f>D252/0.4+1</f>
        <v>54.499999999999993</v>
      </c>
      <c r="M252" s="140">
        <f>B252/0.3+1</f>
        <v>5</v>
      </c>
      <c r="N252" s="140">
        <f>B252/0.4+1</f>
        <v>3.9999999999999996</v>
      </c>
      <c r="O252" s="140">
        <f>D252/0.3+1</f>
        <v>72.333333333333329</v>
      </c>
      <c r="P252" s="140">
        <f>D252/0.4+1</f>
        <v>54.499999999999993</v>
      </c>
      <c r="Q252" s="139"/>
      <c r="R252" s="139"/>
    </row>
    <row r="253" spans="1:18" x14ac:dyDescent="0.2">
      <c r="A253" s="147"/>
      <c r="B253" s="111">
        <v>0.25</v>
      </c>
      <c r="C253" s="7">
        <v>0.2</v>
      </c>
      <c r="D253" s="7">
        <v>21.4</v>
      </c>
      <c r="H253" s="138">
        <f>B253*C253*D253</f>
        <v>1.07</v>
      </c>
      <c r="I253" s="138"/>
      <c r="J253" s="138">
        <f>B253*C253*D253</f>
        <v>1.07</v>
      </c>
      <c r="K253" s="138"/>
      <c r="Q253" s="139"/>
      <c r="R253" s="139"/>
    </row>
    <row r="254" spans="1:18" x14ac:dyDescent="0.2">
      <c r="A254" s="147"/>
      <c r="H254" s="138">
        <f>SUM(H252:H253)</f>
        <v>39.589999999999996</v>
      </c>
      <c r="I254" s="138">
        <f>SUM(I252:I253)</f>
        <v>30.815999999999995</v>
      </c>
      <c r="J254" s="138">
        <f>SUM(J252:J253)</f>
        <v>8.7739999999999991</v>
      </c>
      <c r="K254" s="138">
        <f>SUM(K252:K253)</f>
        <v>12.839999999999998</v>
      </c>
      <c r="Q254" s="139"/>
      <c r="R254" s="139"/>
    </row>
    <row r="255" spans="1:18" x14ac:dyDescent="0.2">
      <c r="A255" s="147"/>
      <c r="H255" s="138"/>
      <c r="I255" s="138"/>
      <c r="J255" s="138"/>
      <c r="K255" s="138"/>
      <c r="Q255" s="139" t="s">
        <v>213</v>
      </c>
      <c r="R255" s="139"/>
    </row>
    <row r="256" spans="1:18" x14ac:dyDescent="0.2">
      <c r="A256" s="147" t="s">
        <v>214</v>
      </c>
      <c r="B256" s="111" t="s">
        <v>198</v>
      </c>
      <c r="C256" s="111" t="s">
        <v>199</v>
      </c>
      <c r="D256" s="111" t="s">
        <v>200</v>
      </c>
      <c r="E256" s="111" t="s">
        <v>201</v>
      </c>
      <c r="F256" s="111" t="s">
        <v>201</v>
      </c>
      <c r="G256" s="111"/>
      <c r="H256" s="148" t="s">
        <v>104</v>
      </c>
      <c r="I256" s="148" t="s">
        <v>202</v>
      </c>
      <c r="J256" s="148" t="s">
        <v>203</v>
      </c>
      <c r="K256" s="148" t="s">
        <v>204</v>
      </c>
      <c r="L256" s="111" t="s">
        <v>205</v>
      </c>
      <c r="M256" s="148" t="s">
        <v>215</v>
      </c>
      <c r="N256" s="148" t="s">
        <v>216</v>
      </c>
      <c r="O256" s="148" t="s">
        <v>215</v>
      </c>
      <c r="P256" s="148" t="s">
        <v>216</v>
      </c>
      <c r="Q256" s="139" t="s">
        <v>217</v>
      </c>
      <c r="R256" s="139" t="s">
        <v>218</v>
      </c>
    </row>
    <row r="257" spans="1:18" x14ac:dyDescent="0.2">
      <c r="A257" s="147"/>
      <c r="B257" s="111" t="s">
        <v>208</v>
      </c>
      <c r="C257" s="111" t="s">
        <v>208</v>
      </c>
      <c r="D257" s="111" t="s">
        <v>208</v>
      </c>
      <c r="E257" s="111" t="s">
        <v>208</v>
      </c>
      <c r="F257" s="111" t="s">
        <v>208</v>
      </c>
      <c r="G257" s="111"/>
      <c r="H257" s="148" t="s">
        <v>59</v>
      </c>
      <c r="I257" s="148" t="s">
        <v>59</v>
      </c>
      <c r="J257" s="148" t="s">
        <v>209</v>
      </c>
      <c r="K257" s="148" t="s">
        <v>5</v>
      </c>
      <c r="L257" s="111" t="s">
        <v>219</v>
      </c>
      <c r="M257" s="148" t="s">
        <v>220</v>
      </c>
      <c r="N257" s="148" t="s">
        <v>220</v>
      </c>
      <c r="O257" s="148" t="s">
        <v>220</v>
      </c>
      <c r="P257" s="148" t="s">
        <v>220</v>
      </c>
      <c r="Q257" s="139" t="s">
        <v>5</v>
      </c>
      <c r="R257" s="139" t="s">
        <v>221</v>
      </c>
    </row>
    <row r="258" spans="1:18" x14ac:dyDescent="0.2">
      <c r="A258" s="147"/>
      <c r="B258" s="111">
        <v>0.3</v>
      </c>
      <c r="C258" s="7">
        <v>5.65</v>
      </c>
      <c r="D258" s="7">
        <v>21.4</v>
      </c>
      <c r="H258" s="138">
        <f>(B258+2)*C258*D258</f>
        <v>278.09299999999996</v>
      </c>
      <c r="I258" s="138">
        <f>H258-J258</f>
        <v>241.81999999999996</v>
      </c>
      <c r="J258" s="138">
        <f>B258*C258*D258</f>
        <v>36.272999999999996</v>
      </c>
      <c r="K258" s="138">
        <f>C258*2*D258</f>
        <v>241.82</v>
      </c>
      <c r="L258" s="140">
        <f>D258/0.2+1</f>
        <v>107.99999999999999</v>
      </c>
      <c r="M258" s="142">
        <f>(C258+0.7)*L258*3.28*0.668/2000</f>
        <v>0.75130761599999996</v>
      </c>
      <c r="N258" s="142">
        <f>(C258+0.7)*L258*3.28*1.04/2000</f>
        <v>1.1697004799999997</v>
      </c>
      <c r="O258" s="142">
        <f>(E258+0.7)*N258*3.28*0.668/2000</f>
        <v>8.9700118889471966E-4</v>
      </c>
      <c r="P258" s="142">
        <f>(E258+0.7)*N258*3.28*1.04/2000</f>
        <v>1.3965287970815995E-3</v>
      </c>
      <c r="Q258" s="139" t="e">
        <f>#REF!</f>
        <v>#REF!</v>
      </c>
      <c r="R258" s="139">
        <v>2</v>
      </c>
    </row>
    <row r="259" spans="1:18" x14ac:dyDescent="0.2">
      <c r="A259" s="147"/>
      <c r="H259" s="138"/>
      <c r="I259" s="138"/>
      <c r="J259" s="138"/>
      <c r="K259" s="138"/>
      <c r="Q259" s="139"/>
      <c r="R259" s="139"/>
    </row>
    <row r="260" spans="1:18" x14ac:dyDescent="0.2">
      <c r="A260" s="147" t="s">
        <v>222</v>
      </c>
      <c r="B260" s="111" t="s">
        <v>198</v>
      </c>
      <c r="C260" s="111" t="s">
        <v>199</v>
      </c>
      <c r="D260" s="111" t="s">
        <v>200</v>
      </c>
      <c r="E260" s="111" t="s">
        <v>201</v>
      </c>
      <c r="F260" s="111" t="s">
        <v>201</v>
      </c>
      <c r="G260" s="111"/>
      <c r="H260" s="148" t="s">
        <v>223</v>
      </c>
      <c r="I260" s="148" t="s">
        <v>224</v>
      </c>
      <c r="J260" s="148" t="s">
        <v>203</v>
      </c>
      <c r="K260" s="148" t="s">
        <v>204</v>
      </c>
      <c r="L260" s="111" t="s">
        <v>205</v>
      </c>
      <c r="M260" s="148" t="s">
        <v>215</v>
      </c>
      <c r="N260" s="111" t="s">
        <v>225</v>
      </c>
      <c r="O260" s="148" t="s">
        <v>215</v>
      </c>
      <c r="P260" s="111" t="s">
        <v>225</v>
      </c>
      <c r="Q260" s="139" t="s">
        <v>226</v>
      </c>
      <c r="R260" s="139"/>
    </row>
    <row r="261" spans="1:18" x14ac:dyDescent="0.2">
      <c r="A261" s="147"/>
      <c r="B261" s="111" t="s">
        <v>208</v>
      </c>
      <c r="C261" s="111" t="s">
        <v>208</v>
      </c>
      <c r="D261" s="7">
        <v>21.4</v>
      </c>
      <c r="E261" s="111" t="s">
        <v>208</v>
      </c>
      <c r="F261" s="111" t="s">
        <v>208</v>
      </c>
      <c r="G261" s="111"/>
      <c r="H261" s="148" t="s">
        <v>59</v>
      </c>
      <c r="I261" s="148" t="s">
        <v>27</v>
      </c>
      <c r="J261" s="148" t="s">
        <v>209</v>
      </c>
      <c r="K261" s="148" t="s">
        <v>5</v>
      </c>
      <c r="L261" s="111" t="s">
        <v>227</v>
      </c>
      <c r="M261" s="148" t="s">
        <v>220</v>
      </c>
      <c r="N261" s="111" t="s">
        <v>221</v>
      </c>
      <c r="O261" s="148" t="s">
        <v>220</v>
      </c>
      <c r="P261" s="111" t="s">
        <v>221</v>
      </c>
      <c r="Q261" s="139" t="s">
        <v>5</v>
      </c>
      <c r="R261" s="139"/>
    </row>
    <row r="262" spans="1:18" x14ac:dyDescent="0.2">
      <c r="A262" s="147"/>
      <c r="B262" s="111">
        <v>0</v>
      </c>
      <c r="C262" s="7">
        <v>0</v>
      </c>
      <c r="D262" s="7">
        <v>21.4</v>
      </c>
      <c r="E262" s="7">
        <v>0</v>
      </c>
      <c r="F262" s="7">
        <v>0</v>
      </c>
      <c r="H262" s="138">
        <f>0.3*0.6*D262</f>
        <v>3.8519999999999994</v>
      </c>
      <c r="I262" s="138">
        <f>D262</f>
        <v>21.4</v>
      </c>
      <c r="J262" s="138">
        <f>B262*C262*D262</f>
        <v>0</v>
      </c>
      <c r="K262" s="138">
        <f>C262*2*D262</f>
        <v>0</v>
      </c>
      <c r="L262" s="140">
        <v>2</v>
      </c>
      <c r="M262" s="141">
        <f>D262*L262*3.28*0.668/2000</f>
        <v>4.6888255999999996E-2</v>
      </c>
      <c r="N262" s="142">
        <f>D262/0.4+1</f>
        <v>54.499999999999993</v>
      </c>
      <c r="O262" s="141">
        <f>G262*N262*3.28*0.668/2000</f>
        <v>0</v>
      </c>
      <c r="P262" s="142">
        <f>G262/0.4+1</f>
        <v>1</v>
      </c>
      <c r="Q262" s="139">
        <f>D262*0.55</f>
        <v>11.77</v>
      </c>
      <c r="R262" s="139"/>
    </row>
    <row r="263" spans="1:18" x14ac:dyDescent="0.2">
      <c r="A263" s="147"/>
      <c r="D263" s="150"/>
      <c r="E263" s="150" t="s">
        <v>228</v>
      </c>
      <c r="F263" s="150" t="s">
        <v>228</v>
      </c>
      <c r="G263" s="150"/>
      <c r="H263" s="150">
        <f>H258+H254</f>
        <v>317.68299999999994</v>
      </c>
      <c r="I263" s="150">
        <f>I258+I254</f>
        <v>272.63599999999997</v>
      </c>
      <c r="J263" s="150">
        <f>J262+J258+J254</f>
        <v>45.046999999999997</v>
      </c>
      <c r="K263" s="150">
        <f>K262+K258+K254</f>
        <v>254.66</v>
      </c>
      <c r="L263" s="151" t="s">
        <v>229</v>
      </c>
      <c r="M263" s="152" t="e">
        <f>#REF!+M258+#REF!+M262+#REF!</f>
        <v>#REF!</v>
      </c>
      <c r="N263" s="153" t="s">
        <v>230</v>
      </c>
      <c r="O263" s="152" t="e">
        <f>#REF!+O258+#REF!+O262+#REF!</f>
        <v>#REF!</v>
      </c>
      <c r="P263" s="153" t="s">
        <v>230</v>
      </c>
      <c r="Q263" s="139"/>
      <c r="R263" s="139"/>
    </row>
    <row r="264" spans="1:18" x14ac:dyDescent="0.2">
      <c r="A264" s="147"/>
      <c r="D264" s="150"/>
      <c r="E264" s="150"/>
      <c r="F264" s="150"/>
      <c r="G264" s="150"/>
      <c r="H264" s="150"/>
      <c r="I264" s="150"/>
      <c r="J264" s="150"/>
      <c r="K264" s="150"/>
      <c r="L264" s="151"/>
      <c r="M264" s="152"/>
      <c r="N264" s="153"/>
      <c r="O264" s="152"/>
      <c r="P264" s="153"/>
      <c r="Q264" s="139"/>
      <c r="R264" s="139"/>
    </row>
    <row r="265" spans="1:18" x14ac:dyDescent="0.2">
      <c r="A265" s="147" t="s">
        <v>234</v>
      </c>
      <c r="H265" s="138"/>
      <c r="I265" s="138"/>
      <c r="J265" s="138"/>
      <c r="K265" s="138"/>
      <c r="L265" s="155"/>
      <c r="M265" s="139"/>
      <c r="O265" s="139"/>
      <c r="Q265" s="139"/>
      <c r="R265" s="141"/>
    </row>
    <row r="266" spans="1:18" x14ac:dyDescent="0.2">
      <c r="A266" s="147" t="s">
        <v>232</v>
      </c>
      <c r="H266" s="138"/>
      <c r="I266" s="138"/>
      <c r="J266" s="138"/>
      <c r="K266" s="138"/>
      <c r="Q266" s="139"/>
      <c r="R266" s="139"/>
    </row>
    <row r="267" spans="1:18" x14ac:dyDescent="0.2">
      <c r="A267" s="147"/>
      <c r="B267" s="111" t="s">
        <v>198</v>
      </c>
      <c r="C267" s="111" t="s">
        <v>199</v>
      </c>
      <c r="D267" s="111" t="s">
        <v>200</v>
      </c>
      <c r="E267" s="111" t="s">
        <v>201</v>
      </c>
      <c r="F267" s="111" t="s">
        <v>201</v>
      </c>
      <c r="G267" s="111"/>
      <c r="H267" s="148" t="s">
        <v>104</v>
      </c>
      <c r="I267" s="148" t="s">
        <v>202</v>
      </c>
      <c r="J267" s="148" t="s">
        <v>203</v>
      </c>
      <c r="K267" s="148" t="s">
        <v>204</v>
      </c>
      <c r="L267" s="111" t="s">
        <v>205</v>
      </c>
      <c r="M267" s="111" t="s">
        <v>205</v>
      </c>
      <c r="N267" s="111" t="s">
        <v>205</v>
      </c>
      <c r="O267" s="111" t="s">
        <v>205</v>
      </c>
      <c r="P267" s="111" t="s">
        <v>205</v>
      </c>
      <c r="Q267" s="139" t="s">
        <v>206</v>
      </c>
      <c r="R267" s="139"/>
    </row>
    <row r="268" spans="1:18" x14ac:dyDescent="0.2">
      <c r="A268" s="147" t="s">
        <v>207</v>
      </c>
      <c r="B268" s="111" t="s">
        <v>208</v>
      </c>
      <c r="C268" s="111" t="s">
        <v>208</v>
      </c>
      <c r="D268" s="111" t="s">
        <v>208</v>
      </c>
      <c r="E268" s="111" t="s">
        <v>208</v>
      </c>
      <c r="F268" s="111" t="s">
        <v>208</v>
      </c>
      <c r="G268" s="111"/>
      <c r="H268" s="148" t="s">
        <v>59</v>
      </c>
      <c r="I268" s="148" t="s">
        <v>59</v>
      </c>
      <c r="J268" s="148" t="s">
        <v>209</v>
      </c>
      <c r="K268" s="148" t="s">
        <v>5</v>
      </c>
      <c r="L268" s="111" t="s">
        <v>210</v>
      </c>
      <c r="M268" s="111" t="s">
        <v>211</v>
      </c>
      <c r="N268" s="111" t="s">
        <v>212</v>
      </c>
      <c r="O268" s="111" t="s">
        <v>211</v>
      </c>
      <c r="P268" s="111" t="s">
        <v>212</v>
      </c>
      <c r="Q268" s="139"/>
      <c r="R268" s="139"/>
    </row>
    <row r="269" spans="1:18" x14ac:dyDescent="0.2">
      <c r="A269" s="147"/>
      <c r="B269" s="111">
        <v>1.2</v>
      </c>
      <c r="C269" s="7">
        <v>0.3</v>
      </c>
      <c r="D269" s="7">
        <v>35.06</v>
      </c>
      <c r="E269" s="7">
        <v>1.5</v>
      </c>
      <c r="F269" s="7">
        <v>1.5</v>
      </c>
      <c r="H269" s="138">
        <f>B269*D269*E269</f>
        <v>63.108000000000004</v>
      </c>
      <c r="I269" s="138">
        <f>H269-J269</f>
        <v>50.486400000000003</v>
      </c>
      <c r="J269" s="138">
        <f>B269*C269*D269</f>
        <v>12.621600000000001</v>
      </c>
      <c r="K269" s="138">
        <f>C269*2*D269</f>
        <v>21.036000000000001</v>
      </c>
      <c r="L269" s="140">
        <f>D269/0.4+1</f>
        <v>88.65</v>
      </c>
      <c r="M269" s="140">
        <f>B269/0.3+1</f>
        <v>5</v>
      </c>
      <c r="N269" s="140">
        <f>B269/0.4+1</f>
        <v>3.9999999999999996</v>
      </c>
      <c r="O269" s="140">
        <f>D269/0.3+1</f>
        <v>117.86666666666667</v>
      </c>
      <c r="P269" s="140">
        <f>D269/0.4+1</f>
        <v>88.65</v>
      </c>
      <c r="Q269" s="139"/>
      <c r="R269" s="139"/>
    </row>
    <row r="270" spans="1:18" x14ac:dyDescent="0.2">
      <c r="A270" s="147"/>
      <c r="B270" s="111">
        <v>0.25</v>
      </c>
      <c r="C270" s="7">
        <v>0.2</v>
      </c>
      <c r="D270" s="7">
        <v>35.06</v>
      </c>
      <c r="H270" s="138">
        <f>B270*C270*D270</f>
        <v>1.7530000000000001</v>
      </c>
      <c r="I270" s="138"/>
      <c r="J270" s="138">
        <f>B270*C270*D270</f>
        <v>1.7530000000000001</v>
      </c>
      <c r="K270" s="138"/>
      <c r="Q270" s="139"/>
      <c r="R270" s="139"/>
    </row>
    <row r="271" spans="1:18" x14ac:dyDescent="0.2">
      <c r="A271" s="147"/>
      <c r="H271" s="138">
        <f>SUM(H269:H270)</f>
        <v>64.861000000000004</v>
      </c>
      <c r="I271" s="138">
        <f>SUM(I269:I270)</f>
        <v>50.486400000000003</v>
      </c>
      <c r="J271" s="138">
        <f>SUM(J269:J270)</f>
        <v>14.374600000000001</v>
      </c>
      <c r="K271" s="138">
        <f>SUM(K269:K270)</f>
        <v>21.036000000000001</v>
      </c>
      <c r="Q271" s="139"/>
      <c r="R271" s="139"/>
    </row>
    <row r="272" spans="1:18" x14ac:dyDescent="0.2">
      <c r="A272" s="147"/>
      <c r="H272" s="138"/>
      <c r="I272" s="138"/>
      <c r="J272" s="138"/>
      <c r="K272" s="138"/>
      <c r="Q272" s="139" t="s">
        <v>213</v>
      </c>
      <c r="R272" s="139"/>
    </row>
    <row r="273" spans="1:18" x14ac:dyDescent="0.2">
      <c r="A273" s="147" t="s">
        <v>214</v>
      </c>
      <c r="B273" s="111" t="s">
        <v>198</v>
      </c>
      <c r="C273" s="111" t="s">
        <v>199</v>
      </c>
      <c r="D273" s="111" t="s">
        <v>200</v>
      </c>
      <c r="E273" s="111" t="s">
        <v>201</v>
      </c>
      <c r="F273" s="111" t="s">
        <v>201</v>
      </c>
      <c r="G273" s="111"/>
      <c r="H273" s="148" t="s">
        <v>104</v>
      </c>
      <c r="I273" s="148" t="s">
        <v>202</v>
      </c>
      <c r="J273" s="148" t="s">
        <v>203</v>
      </c>
      <c r="K273" s="148" t="s">
        <v>204</v>
      </c>
      <c r="L273" s="111" t="s">
        <v>205</v>
      </c>
      <c r="M273" s="148" t="s">
        <v>215</v>
      </c>
      <c r="N273" s="148" t="s">
        <v>216</v>
      </c>
      <c r="O273" s="148" t="s">
        <v>215</v>
      </c>
      <c r="P273" s="148" t="s">
        <v>216</v>
      </c>
      <c r="Q273" s="139" t="s">
        <v>217</v>
      </c>
      <c r="R273" s="139" t="s">
        <v>218</v>
      </c>
    </row>
    <row r="274" spans="1:18" x14ac:dyDescent="0.2">
      <c r="A274" s="147"/>
      <c r="B274" s="111" t="s">
        <v>208</v>
      </c>
      <c r="C274" s="111" t="s">
        <v>208</v>
      </c>
      <c r="D274" s="111" t="s">
        <v>208</v>
      </c>
      <c r="E274" s="111" t="s">
        <v>208</v>
      </c>
      <c r="F274" s="111" t="s">
        <v>208</v>
      </c>
      <c r="G274" s="111"/>
      <c r="H274" s="148" t="s">
        <v>59</v>
      </c>
      <c r="I274" s="148" t="s">
        <v>59</v>
      </c>
      <c r="J274" s="148" t="s">
        <v>209</v>
      </c>
      <c r="K274" s="148" t="s">
        <v>5</v>
      </c>
      <c r="L274" s="111" t="s">
        <v>219</v>
      </c>
      <c r="M274" s="148" t="s">
        <v>220</v>
      </c>
      <c r="N274" s="148" t="s">
        <v>220</v>
      </c>
      <c r="O274" s="148" t="s">
        <v>220</v>
      </c>
      <c r="P274" s="148" t="s">
        <v>220</v>
      </c>
      <c r="Q274" s="139" t="s">
        <v>5</v>
      </c>
      <c r="R274" s="139" t="s">
        <v>221</v>
      </c>
    </row>
    <row r="275" spans="1:18" x14ac:dyDescent="0.2">
      <c r="A275" s="147"/>
      <c r="B275" s="111">
        <v>0.3</v>
      </c>
      <c r="C275" s="7">
        <v>2.7</v>
      </c>
      <c r="D275" s="7">
        <v>35.06</v>
      </c>
      <c r="H275" s="138">
        <f>(B275+2)*C275*D275</f>
        <v>217.7226</v>
      </c>
      <c r="I275" s="138">
        <f>H275-J275</f>
        <v>189.32399999999998</v>
      </c>
      <c r="J275" s="138">
        <f>B275*C275*D275</f>
        <v>28.398600000000005</v>
      </c>
      <c r="K275" s="138">
        <f>C275*2*D275</f>
        <v>189.32400000000001</v>
      </c>
      <c r="L275" s="140">
        <f>D275/0.2+1</f>
        <v>176.3</v>
      </c>
      <c r="M275" s="142">
        <f>(C275+0.7)*L275*3.28*0.668/2000</f>
        <v>0.65667659840000014</v>
      </c>
      <c r="N275" s="142">
        <f>(C275+0.7)*L275*3.28*1.04/2000</f>
        <v>1.022370752</v>
      </c>
      <c r="O275" s="142">
        <f>(E275+0.7)*N275*3.28*0.668/2000</f>
        <v>7.8401932436172796E-4</v>
      </c>
      <c r="P275" s="142">
        <f>(E275+0.7)*N275*3.28*1.04/2000</f>
        <v>1.2206288882278401E-3</v>
      </c>
      <c r="Q275" s="139" t="e">
        <f>#REF!</f>
        <v>#REF!</v>
      </c>
      <c r="R275" s="139">
        <v>2</v>
      </c>
    </row>
    <row r="276" spans="1:18" x14ac:dyDescent="0.2">
      <c r="A276" s="147"/>
      <c r="H276" s="138"/>
      <c r="I276" s="138"/>
      <c r="J276" s="138"/>
      <c r="K276" s="138"/>
      <c r="Q276" s="139"/>
      <c r="R276" s="139"/>
    </row>
    <row r="277" spans="1:18" x14ac:dyDescent="0.2">
      <c r="A277" s="147" t="s">
        <v>222</v>
      </c>
      <c r="B277" s="111" t="s">
        <v>198</v>
      </c>
      <c r="C277" s="111" t="s">
        <v>199</v>
      </c>
      <c r="D277" s="111" t="s">
        <v>200</v>
      </c>
      <c r="E277" s="111" t="s">
        <v>201</v>
      </c>
      <c r="F277" s="111" t="s">
        <v>201</v>
      </c>
      <c r="G277" s="111"/>
      <c r="H277" s="148" t="s">
        <v>223</v>
      </c>
      <c r="I277" s="148" t="s">
        <v>224</v>
      </c>
      <c r="J277" s="148" t="s">
        <v>203</v>
      </c>
      <c r="K277" s="148" t="s">
        <v>204</v>
      </c>
      <c r="L277" s="111" t="s">
        <v>205</v>
      </c>
      <c r="M277" s="148" t="s">
        <v>215</v>
      </c>
      <c r="N277" s="111" t="s">
        <v>225</v>
      </c>
      <c r="O277" s="148" t="s">
        <v>215</v>
      </c>
      <c r="P277" s="111" t="s">
        <v>225</v>
      </c>
      <c r="Q277" s="139" t="s">
        <v>226</v>
      </c>
      <c r="R277" s="139"/>
    </row>
    <row r="278" spans="1:18" x14ac:dyDescent="0.2">
      <c r="A278" s="147"/>
      <c r="B278" s="111" t="s">
        <v>208</v>
      </c>
      <c r="C278" s="111" t="s">
        <v>208</v>
      </c>
      <c r="D278" s="7">
        <v>35.06</v>
      </c>
      <c r="E278" s="111" t="s">
        <v>208</v>
      </c>
      <c r="F278" s="111" t="s">
        <v>208</v>
      </c>
      <c r="G278" s="111"/>
      <c r="H278" s="148" t="s">
        <v>59</v>
      </c>
      <c r="I278" s="148" t="s">
        <v>27</v>
      </c>
      <c r="J278" s="148" t="s">
        <v>209</v>
      </c>
      <c r="K278" s="148" t="s">
        <v>5</v>
      </c>
      <c r="L278" s="111" t="s">
        <v>227</v>
      </c>
      <c r="M278" s="148" t="s">
        <v>220</v>
      </c>
      <c r="N278" s="111" t="s">
        <v>221</v>
      </c>
      <c r="O278" s="148" t="s">
        <v>220</v>
      </c>
      <c r="P278" s="111" t="s">
        <v>221</v>
      </c>
      <c r="Q278" s="139" t="s">
        <v>5</v>
      </c>
      <c r="R278" s="139"/>
    </row>
    <row r="279" spans="1:18" x14ac:dyDescent="0.2">
      <c r="A279" s="147"/>
      <c r="B279" s="111">
        <v>0</v>
      </c>
      <c r="C279" s="7">
        <v>0</v>
      </c>
      <c r="D279" s="7">
        <v>35.06</v>
      </c>
      <c r="E279" s="7">
        <v>0</v>
      </c>
      <c r="F279" s="7">
        <v>0</v>
      </c>
      <c r="H279" s="138">
        <f>0.3*0.6*D279</f>
        <v>6.3108000000000004</v>
      </c>
      <c r="I279" s="138">
        <f>D279</f>
        <v>35.06</v>
      </c>
      <c r="J279" s="138">
        <f>B279*C279*D279</f>
        <v>0</v>
      </c>
      <c r="K279" s="138">
        <f>C279*2*D279</f>
        <v>0</v>
      </c>
      <c r="L279" s="140">
        <v>2</v>
      </c>
      <c r="M279" s="141">
        <f>D279*L279*3.28*0.668/2000</f>
        <v>7.6817862400000006E-2</v>
      </c>
      <c r="N279" s="142">
        <f>D279/0.4+1</f>
        <v>88.65</v>
      </c>
      <c r="O279" s="141">
        <f>G279*N279*3.28*0.668/2000</f>
        <v>0</v>
      </c>
      <c r="P279" s="142">
        <f>G279/0.4+1</f>
        <v>1</v>
      </c>
      <c r="Q279" s="139">
        <f>D279*0.55</f>
        <v>19.283000000000001</v>
      </c>
      <c r="R279" s="139"/>
    </row>
    <row r="280" spans="1:18" x14ac:dyDescent="0.2">
      <c r="A280" s="147"/>
      <c r="D280" s="150"/>
      <c r="E280" s="150" t="s">
        <v>228</v>
      </c>
      <c r="F280" s="150" t="s">
        <v>228</v>
      </c>
      <c r="G280" s="150"/>
      <c r="H280" s="150">
        <f>H275+H271</f>
        <v>282.58359999999999</v>
      </c>
      <c r="I280" s="150">
        <f>I275+I271</f>
        <v>239.81039999999999</v>
      </c>
      <c r="J280" s="150">
        <f>J279+J275+J271</f>
        <v>42.773200000000003</v>
      </c>
      <c r="K280" s="150">
        <f>K279+K275+K271</f>
        <v>210.36</v>
      </c>
      <c r="L280" s="151" t="s">
        <v>229</v>
      </c>
      <c r="M280" s="152" t="e">
        <f>#REF!+M275+#REF!+M279+#REF!</f>
        <v>#REF!</v>
      </c>
      <c r="N280" s="153" t="s">
        <v>230</v>
      </c>
      <c r="O280" s="152" t="e">
        <f>#REF!+O275+#REF!+O279+#REF!</f>
        <v>#REF!</v>
      </c>
      <c r="P280" s="153" t="s">
        <v>230</v>
      </c>
      <c r="Q280" s="139"/>
      <c r="R280" s="139"/>
    </row>
    <row r="281" spans="1:18" x14ac:dyDescent="0.2">
      <c r="A281" s="147"/>
      <c r="D281" s="150"/>
      <c r="E281" s="150"/>
      <c r="F281" s="150"/>
      <c r="G281" s="150"/>
      <c r="H281" s="150"/>
      <c r="I281" s="150"/>
      <c r="J281" s="150"/>
      <c r="K281" s="150"/>
      <c r="L281" s="151"/>
      <c r="M281" s="152"/>
      <c r="N281" s="153"/>
      <c r="O281" s="152"/>
      <c r="P281" s="153"/>
      <c r="Q281" s="139"/>
      <c r="R281" s="139"/>
    </row>
    <row r="282" spans="1:18" x14ac:dyDescent="0.2">
      <c r="A282" s="147"/>
      <c r="D282" s="150"/>
      <c r="E282" s="150"/>
      <c r="F282" s="150"/>
      <c r="G282" s="150"/>
      <c r="H282" s="150">
        <f>H280+H263+H246+H229+H212</f>
        <v>2214.5379800000001</v>
      </c>
      <c r="I282" s="150">
        <f>I280+I263+I246+I229+I212</f>
        <v>1901.8232</v>
      </c>
      <c r="J282" s="150">
        <f>J280+J263+J246+J229+J212</f>
        <v>312.71478000000002</v>
      </c>
      <c r="K282" s="150">
        <f>K280+K263+K246+K229+K212</f>
        <v>1783.0052000000001</v>
      </c>
      <c r="L282" s="151"/>
      <c r="M282" s="152" t="e">
        <f>M280+M263+M246+M229+M212</f>
        <v>#REF!</v>
      </c>
      <c r="N282" s="153"/>
      <c r="O282" s="152" t="e">
        <f>O280+O263+O246+O229+O212</f>
        <v>#REF!</v>
      </c>
      <c r="P282" s="153"/>
      <c r="Q282" s="139"/>
      <c r="R282" s="139"/>
    </row>
    <row r="283" spans="1:18" x14ac:dyDescent="0.2">
      <c r="A283" s="147"/>
      <c r="D283" s="150"/>
      <c r="E283" s="150"/>
      <c r="F283" s="150"/>
      <c r="G283" s="150"/>
      <c r="H283" s="150"/>
      <c r="I283" s="150">
        <f>I279+I262+I245+I228+I211</f>
        <v>141.45000000000002</v>
      </c>
      <c r="J283" s="150"/>
      <c r="K283" s="150"/>
      <c r="L283" s="151"/>
      <c r="M283" s="152"/>
      <c r="N283" s="153"/>
      <c r="O283" s="152"/>
      <c r="P283" s="153"/>
      <c r="Q283" s="139"/>
      <c r="R283" s="139"/>
    </row>
    <row r="284" spans="1:18" x14ac:dyDescent="0.2">
      <c r="A284" s="147"/>
      <c r="D284" s="150"/>
      <c r="E284" s="150"/>
      <c r="F284" s="150"/>
      <c r="G284" s="150"/>
      <c r="H284" s="150"/>
      <c r="I284" s="150"/>
      <c r="J284" s="150"/>
      <c r="K284" s="150"/>
      <c r="L284" s="151"/>
      <c r="M284" s="152"/>
      <c r="N284" s="153"/>
      <c r="O284" s="152"/>
      <c r="P284" s="153"/>
      <c r="Q284" s="139"/>
      <c r="R284" s="139"/>
    </row>
    <row r="285" spans="1:18" x14ac:dyDescent="0.2">
      <c r="A285" s="147"/>
      <c r="D285" s="150"/>
      <c r="E285" s="150"/>
      <c r="F285" s="150"/>
      <c r="G285" s="150"/>
      <c r="H285" s="150"/>
      <c r="I285" s="150"/>
      <c r="J285" s="150"/>
      <c r="K285" s="150"/>
      <c r="L285" s="151"/>
      <c r="M285" s="152"/>
      <c r="N285" s="153"/>
      <c r="O285" s="152"/>
      <c r="P285" s="153"/>
      <c r="Q285" s="139"/>
      <c r="R285" s="139"/>
    </row>
    <row r="286" spans="1:18" x14ac:dyDescent="0.2">
      <c r="A286" s="137"/>
    </row>
    <row r="287" spans="1:18" x14ac:dyDescent="0.2">
      <c r="A287" s="147" t="s">
        <v>237</v>
      </c>
      <c r="H287" s="138"/>
      <c r="I287" s="138"/>
      <c r="J287" s="138"/>
      <c r="K287" s="138"/>
      <c r="L287" s="155"/>
      <c r="M287" s="139"/>
      <c r="O287" s="139"/>
      <c r="Q287" s="139"/>
      <c r="R287" s="141"/>
    </row>
    <row r="288" spans="1:18" x14ac:dyDescent="0.2">
      <c r="A288" s="147" t="s">
        <v>232</v>
      </c>
      <c r="H288" s="138"/>
      <c r="I288" s="138"/>
      <c r="J288" s="138"/>
      <c r="K288" s="138"/>
      <c r="Q288" s="139"/>
      <c r="R288" s="139"/>
    </row>
    <row r="289" spans="1:18" x14ac:dyDescent="0.2">
      <c r="A289" s="147"/>
      <c r="B289" s="111" t="s">
        <v>198</v>
      </c>
      <c r="C289" s="111" t="s">
        <v>199</v>
      </c>
      <c r="D289" s="111" t="s">
        <v>200</v>
      </c>
      <c r="E289" s="111" t="s">
        <v>201</v>
      </c>
      <c r="F289" s="111" t="s">
        <v>201</v>
      </c>
      <c r="G289" s="111"/>
      <c r="H289" s="148" t="s">
        <v>104</v>
      </c>
      <c r="I289" s="148" t="s">
        <v>202</v>
      </c>
      <c r="J289" s="148" t="s">
        <v>203</v>
      </c>
      <c r="K289" s="148" t="s">
        <v>204</v>
      </c>
      <c r="L289" s="111" t="s">
        <v>205</v>
      </c>
      <c r="M289" s="111" t="s">
        <v>205</v>
      </c>
      <c r="N289" s="111" t="s">
        <v>205</v>
      </c>
      <c r="O289" s="111" t="s">
        <v>205</v>
      </c>
      <c r="P289" s="111" t="s">
        <v>205</v>
      </c>
      <c r="Q289" s="139" t="s">
        <v>206</v>
      </c>
      <c r="R289" s="139"/>
    </row>
    <row r="290" spans="1:18" x14ac:dyDescent="0.2">
      <c r="A290" s="147" t="s">
        <v>207</v>
      </c>
      <c r="B290" s="111" t="s">
        <v>208</v>
      </c>
      <c r="C290" s="111" t="s">
        <v>208</v>
      </c>
      <c r="D290" s="111" t="s">
        <v>208</v>
      </c>
      <c r="E290" s="111" t="s">
        <v>208</v>
      </c>
      <c r="F290" s="111" t="s">
        <v>208</v>
      </c>
      <c r="G290" s="111"/>
      <c r="H290" s="148" t="s">
        <v>59</v>
      </c>
      <c r="I290" s="148" t="s">
        <v>59</v>
      </c>
      <c r="J290" s="148" t="s">
        <v>209</v>
      </c>
      <c r="K290" s="148" t="s">
        <v>5</v>
      </c>
      <c r="L290" s="111" t="s">
        <v>210</v>
      </c>
      <c r="M290" s="111" t="s">
        <v>211</v>
      </c>
      <c r="N290" s="111" t="s">
        <v>212</v>
      </c>
      <c r="O290" s="111" t="s">
        <v>211</v>
      </c>
      <c r="P290" s="111" t="s">
        <v>212</v>
      </c>
      <c r="Q290" s="139"/>
      <c r="R290" s="139"/>
    </row>
    <row r="291" spans="1:18" x14ac:dyDescent="0.2">
      <c r="A291" s="147"/>
      <c r="B291" s="111">
        <v>1.5</v>
      </c>
      <c r="C291" s="7">
        <v>0.3</v>
      </c>
      <c r="D291" s="7">
        <v>8.5</v>
      </c>
      <c r="E291" s="7">
        <v>1.5</v>
      </c>
      <c r="F291" s="7">
        <v>1.5</v>
      </c>
      <c r="H291" s="138">
        <f>B291*D291*E291</f>
        <v>19.125</v>
      </c>
      <c r="I291" s="138">
        <f>H291-J291</f>
        <v>15.3</v>
      </c>
      <c r="J291" s="138">
        <f>B291*C291*D291</f>
        <v>3.8249999999999997</v>
      </c>
      <c r="K291" s="138">
        <f>C291*2*D291</f>
        <v>5.0999999999999996</v>
      </c>
      <c r="L291" s="140">
        <f>D291/0.4+1</f>
        <v>22.25</v>
      </c>
      <c r="M291" s="140">
        <f>B291/0.3+1</f>
        <v>6</v>
      </c>
      <c r="N291" s="140">
        <f>B291/0.4+1</f>
        <v>4.75</v>
      </c>
      <c r="O291" s="140">
        <f>D291/0.3+1</f>
        <v>29.333333333333336</v>
      </c>
      <c r="P291" s="140">
        <f>D291/0.4+1</f>
        <v>22.25</v>
      </c>
      <c r="Q291" s="139"/>
      <c r="R291" s="139"/>
    </row>
    <row r="292" spans="1:18" x14ac:dyDescent="0.2">
      <c r="A292" s="147"/>
      <c r="B292" s="111">
        <v>0.25</v>
      </c>
      <c r="C292" s="7">
        <v>0.2</v>
      </c>
      <c r="D292" s="7">
        <v>8.5</v>
      </c>
      <c r="H292" s="138">
        <f>B292*C292*D292</f>
        <v>0.42500000000000004</v>
      </c>
      <c r="I292" s="138"/>
      <c r="J292" s="138">
        <f>B292*C292*D292</f>
        <v>0.42500000000000004</v>
      </c>
      <c r="K292" s="138"/>
      <c r="Q292" s="139"/>
      <c r="R292" s="139"/>
    </row>
    <row r="293" spans="1:18" x14ac:dyDescent="0.2">
      <c r="A293" s="147"/>
      <c r="H293" s="138">
        <f>SUM(H291:H292)</f>
        <v>19.55</v>
      </c>
      <c r="I293" s="138">
        <f>SUM(I291:I292)</f>
        <v>15.3</v>
      </c>
      <c r="J293" s="138">
        <f>SUM(J291:J292)</f>
        <v>4.25</v>
      </c>
      <c r="K293" s="138">
        <f>SUM(K291:K292)</f>
        <v>5.0999999999999996</v>
      </c>
      <c r="Q293" s="139"/>
      <c r="R293" s="139"/>
    </row>
    <row r="294" spans="1:18" x14ac:dyDescent="0.2">
      <c r="A294" s="147"/>
      <c r="H294" s="138"/>
      <c r="I294" s="138"/>
      <c r="J294" s="138"/>
      <c r="K294" s="138"/>
      <c r="Q294" s="139" t="s">
        <v>213</v>
      </c>
      <c r="R294" s="139"/>
    </row>
    <row r="295" spans="1:18" x14ac:dyDescent="0.2">
      <c r="A295" s="147" t="s">
        <v>214</v>
      </c>
      <c r="B295" s="111" t="s">
        <v>198</v>
      </c>
      <c r="C295" s="111" t="s">
        <v>199</v>
      </c>
      <c r="D295" s="111" t="s">
        <v>200</v>
      </c>
      <c r="E295" s="111" t="s">
        <v>201</v>
      </c>
      <c r="F295" s="111" t="s">
        <v>201</v>
      </c>
      <c r="G295" s="111"/>
      <c r="H295" s="148" t="s">
        <v>104</v>
      </c>
      <c r="I295" s="148" t="s">
        <v>202</v>
      </c>
      <c r="J295" s="148" t="s">
        <v>203</v>
      </c>
      <c r="K295" s="148" t="s">
        <v>204</v>
      </c>
      <c r="L295" s="111" t="s">
        <v>205</v>
      </c>
      <c r="M295" s="148" t="s">
        <v>215</v>
      </c>
      <c r="N295" s="148" t="s">
        <v>238</v>
      </c>
      <c r="O295" s="148" t="s">
        <v>215</v>
      </c>
      <c r="P295" s="148" t="s">
        <v>238</v>
      </c>
      <c r="Q295" s="139" t="s">
        <v>217</v>
      </c>
      <c r="R295" s="139" t="s">
        <v>218</v>
      </c>
    </row>
    <row r="296" spans="1:18" x14ac:dyDescent="0.2">
      <c r="A296" s="147"/>
      <c r="B296" s="111" t="s">
        <v>208</v>
      </c>
      <c r="C296" s="111" t="s">
        <v>208</v>
      </c>
      <c r="D296" s="111" t="s">
        <v>208</v>
      </c>
      <c r="E296" s="111" t="s">
        <v>208</v>
      </c>
      <c r="F296" s="111" t="s">
        <v>208</v>
      </c>
      <c r="G296" s="111"/>
      <c r="H296" s="148" t="s">
        <v>59</v>
      </c>
      <c r="I296" s="148" t="s">
        <v>59</v>
      </c>
      <c r="J296" s="148" t="s">
        <v>209</v>
      </c>
      <c r="K296" s="148" t="s">
        <v>5</v>
      </c>
      <c r="L296" s="111" t="s">
        <v>219</v>
      </c>
      <c r="M296" s="148" t="s">
        <v>220</v>
      </c>
      <c r="N296" s="148" t="s">
        <v>220</v>
      </c>
      <c r="O296" s="148" t="s">
        <v>220</v>
      </c>
      <c r="P296" s="148" t="s">
        <v>220</v>
      </c>
      <c r="Q296" s="139" t="s">
        <v>5</v>
      </c>
      <c r="R296" s="139" t="s">
        <v>221</v>
      </c>
    </row>
    <row r="297" spans="1:18" x14ac:dyDescent="0.2">
      <c r="A297" s="147"/>
      <c r="B297" s="111">
        <v>0.3</v>
      </c>
      <c r="C297" s="7">
        <v>5.5</v>
      </c>
      <c r="D297" s="7">
        <v>8.5</v>
      </c>
      <c r="H297" s="138">
        <f>(B297+2)*C297*D297</f>
        <v>107.52499999999999</v>
      </c>
      <c r="I297" s="138">
        <f>H297-J297</f>
        <v>93.5</v>
      </c>
      <c r="J297" s="138">
        <f>B297*C297*D297</f>
        <v>14.024999999999999</v>
      </c>
      <c r="K297" s="138">
        <f>C297*2*D297</f>
        <v>93.5</v>
      </c>
      <c r="L297" s="140">
        <f>D297/0.2+1</f>
        <v>43.5</v>
      </c>
      <c r="M297" s="142">
        <f>(C297+0.7)*L297*3.28*0.668/2000</f>
        <v>0.29546174399999997</v>
      </c>
      <c r="N297" s="142">
        <f>(C297+0.7)*(D297/0.25+1)*3.28*1.5/2000</f>
        <v>0.53381999999999996</v>
      </c>
      <c r="O297" s="142">
        <f>(E297+0.7)*N297*3.28*0.668/2000</f>
        <v>4.0936734047999993E-4</v>
      </c>
      <c r="P297" s="142">
        <f>(E297+0.7)*(G297/0.25+1)*3.28*1.5/2000</f>
        <v>1.722E-3</v>
      </c>
      <c r="Q297" s="139" t="e">
        <f>#REF!</f>
        <v>#REF!</v>
      </c>
      <c r="R297" s="139">
        <v>2</v>
      </c>
    </row>
    <row r="298" spans="1:18" x14ac:dyDescent="0.2">
      <c r="A298" s="147"/>
      <c r="H298" s="138"/>
      <c r="I298" s="138"/>
      <c r="J298" s="138"/>
      <c r="K298" s="138"/>
      <c r="L298" s="140"/>
      <c r="M298" s="142"/>
      <c r="N298" s="142"/>
      <c r="O298" s="142"/>
      <c r="P298" s="142"/>
      <c r="Q298" s="139"/>
      <c r="R298" s="139"/>
    </row>
    <row r="299" spans="1:18" x14ac:dyDescent="0.2">
      <c r="A299" s="147"/>
      <c r="H299" s="138"/>
      <c r="I299" s="138"/>
      <c r="J299" s="138"/>
      <c r="K299" s="138"/>
      <c r="Q299" s="139" t="s">
        <v>213</v>
      </c>
      <c r="R299" s="139"/>
    </row>
    <row r="300" spans="1:18" x14ac:dyDescent="0.2">
      <c r="A300" s="147" t="s">
        <v>214</v>
      </c>
      <c r="B300" s="111" t="s">
        <v>198</v>
      </c>
      <c r="C300" s="111" t="s">
        <v>199</v>
      </c>
      <c r="D300" s="111" t="s">
        <v>200</v>
      </c>
      <c r="E300" s="111" t="s">
        <v>201</v>
      </c>
      <c r="F300" s="111" t="s">
        <v>201</v>
      </c>
      <c r="G300" s="111"/>
      <c r="H300" s="148" t="s">
        <v>104</v>
      </c>
      <c r="I300" s="148" t="s">
        <v>202</v>
      </c>
      <c r="J300" s="148" t="s">
        <v>203</v>
      </c>
      <c r="K300" s="148" t="s">
        <v>204</v>
      </c>
      <c r="L300" s="111" t="s">
        <v>205</v>
      </c>
      <c r="M300" s="148" t="s">
        <v>215</v>
      </c>
      <c r="N300" s="148" t="s">
        <v>216</v>
      </c>
      <c r="O300" s="148" t="s">
        <v>215</v>
      </c>
      <c r="P300" s="148" t="s">
        <v>216</v>
      </c>
      <c r="Q300" s="139" t="s">
        <v>217</v>
      </c>
      <c r="R300" s="139" t="s">
        <v>218</v>
      </c>
    </row>
    <row r="301" spans="1:18" x14ac:dyDescent="0.2">
      <c r="A301" s="147"/>
      <c r="B301" s="111" t="s">
        <v>208</v>
      </c>
      <c r="C301" s="111" t="s">
        <v>208</v>
      </c>
      <c r="D301" s="111" t="s">
        <v>208</v>
      </c>
      <c r="E301" s="111" t="s">
        <v>208</v>
      </c>
      <c r="F301" s="111" t="s">
        <v>208</v>
      </c>
      <c r="G301" s="111"/>
      <c r="H301" s="148" t="s">
        <v>59</v>
      </c>
      <c r="I301" s="148" t="s">
        <v>59</v>
      </c>
      <c r="J301" s="148" t="s">
        <v>209</v>
      </c>
      <c r="K301" s="148" t="s">
        <v>5</v>
      </c>
      <c r="L301" s="111" t="s">
        <v>219</v>
      </c>
      <c r="M301" s="148" t="s">
        <v>220</v>
      </c>
      <c r="N301" s="148" t="s">
        <v>220</v>
      </c>
      <c r="O301" s="148" t="s">
        <v>220</v>
      </c>
      <c r="P301" s="148" t="s">
        <v>220</v>
      </c>
      <c r="Q301" s="139" t="s">
        <v>5</v>
      </c>
      <c r="R301" s="139" t="s">
        <v>221</v>
      </c>
    </row>
    <row r="302" spans="1:18" x14ac:dyDescent="0.2">
      <c r="A302" s="147"/>
      <c r="B302" s="111">
        <v>0.3</v>
      </c>
      <c r="C302" s="7">
        <v>3</v>
      </c>
      <c r="D302" s="7">
        <v>8.5</v>
      </c>
      <c r="H302" s="138">
        <f>(B302+2)*C302*D302</f>
        <v>58.65</v>
      </c>
      <c r="I302" s="138">
        <f>H302-J302</f>
        <v>51</v>
      </c>
      <c r="J302" s="138">
        <f>B302*C302*D302</f>
        <v>7.6499999999999995</v>
      </c>
      <c r="K302" s="138">
        <f>C302*2*D302</f>
        <v>51</v>
      </c>
      <c r="L302" s="140">
        <f>D302/0.2+1</f>
        <v>43.5</v>
      </c>
      <c r="M302" s="142">
        <f>(C302+0.7)*L302*3.28*0.668/2000</f>
        <v>0.17632394400000004</v>
      </c>
      <c r="N302" s="142">
        <f>(C302+0.7)*(D302/0.25+1)*3.28*1.04/2000</f>
        <v>0.22087519999999999</v>
      </c>
      <c r="O302" s="142">
        <f>(E302+0.7)*N302*3.28*0.668/2000</f>
        <v>1.6938123937280001E-4</v>
      </c>
      <c r="P302" s="142">
        <f>(E302+0.7)*(G302/0.25+1)*3.28*1.04/2000</f>
        <v>1.1939199999999998E-3</v>
      </c>
      <c r="Q302" s="139" t="e">
        <f>#REF!</f>
        <v>#REF!</v>
      </c>
      <c r="R302" s="139">
        <v>2</v>
      </c>
    </row>
    <row r="303" spans="1:18" x14ac:dyDescent="0.2">
      <c r="A303" s="147"/>
      <c r="H303" s="138"/>
      <c r="I303" s="138"/>
      <c r="J303" s="138"/>
      <c r="K303" s="138"/>
      <c r="L303" s="140"/>
      <c r="M303" s="142"/>
      <c r="N303" s="142"/>
      <c r="O303" s="142"/>
      <c r="P303" s="142"/>
      <c r="Q303" s="139"/>
      <c r="R303" s="139"/>
    </row>
    <row r="304" spans="1:18" x14ac:dyDescent="0.2">
      <c r="A304" s="147" t="s">
        <v>222</v>
      </c>
      <c r="B304" s="111" t="s">
        <v>198</v>
      </c>
      <c r="C304" s="111" t="s">
        <v>199</v>
      </c>
      <c r="D304" s="111" t="s">
        <v>200</v>
      </c>
      <c r="E304" s="111" t="s">
        <v>201</v>
      </c>
      <c r="F304" s="111" t="s">
        <v>201</v>
      </c>
      <c r="G304" s="111"/>
      <c r="H304" s="148" t="s">
        <v>223</v>
      </c>
      <c r="I304" s="148" t="s">
        <v>224</v>
      </c>
      <c r="J304" s="148" t="s">
        <v>203</v>
      </c>
      <c r="K304" s="148" t="s">
        <v>204</v>
      </c>
      <c r="L304" s="111" t="s">
        <v>205</v>
      </c>
      <c r="M304" s="148" t="s">
        <v>215</v>
      </c>
      <c r="N304" s="111" t="s">
        <v>225</v>
      </c>
      <c r="O304" s="148" t="s">
        <v>215</v>
      </c>
      <c r="P304" s="111" t="s">
        <v>225</v>
      </c>
      <c r="Q304" s="139" t="s">
        <v>226</v>
      </c>
      <c r="R304" s="139"/>
    </row>
    <row r="305" spans="1:18" x14ac:dyDescent="0.2">
      <c r="A305" s="147"/>
      <c r="B305" s="111" t="s">
        <v>208</v>
      </c>
      <c r="C305" s="111" t="s">
        <v>208</v>
      </c>
      <c r="D305" s="7">
        <v>8.5</v>
      </c>
      <c r="E305" s="111" t="s">
        <v>208</v>
      </c>
      <c r="F305" s="111" t="s">
        <v>208</v>
      </c>
      <c r="G305" s="111"/>
      <c r="H305" s="148" t="s">
        <v>59</v>
      </c>
      <c r="I305" s="148" t="s">
        <v>27</v>
      </c>
      <c r="J305" s="148" t="s">
        <v>209</v>
      </c>
      <c r="K305" s="148" t="s">
        <v>5</v>
      </c>
      <c r="L305" s="111" t="s">
        <v>227</v>
      </c>
      <c r="M305" s="148" t="s">
        <v>220</v>
      </c>
      <c r="N305" s="111" t="s">
        <v>221</v>
      </c>
      <c r="O305" s="148" t="s">
        <v>220</v>
      </c>
      <c r="P305" s="111" t="s">
        <v>221</v>
      </c>
      <c r="Q305" s="139" t="s">
        <v>5</v>
      </c>
      <c r="R305" s="139"/>
    </row>
    <row r="306" spans="1:18" x14ac:dyDescent="0.2">
      <c r="A306" s="147"/>
      <c r="B306" s="111">
        <v>0.2</v>
      </c>
      <c r="C306" s="7">
        <v>0.25</v>
      </c>
      <c r="D306" s="7">
        <v>8.5</v>
      </c>
      <c r="E306" s="7">
        <v>0</v>
      </c>
      <c r="F306" s="7">
        <v>0</v>
      </c>
      <c r="H306" s="138">
        <f>0.3*0.6*D306</f>
        <v>1.53</v>
      </c>
      <c r="I306" s="138">
        <f>D306</f>
        <v>8.5</v>
      </c>
      <c r="J306" s="138">
        <f>B306*C306*D306</f>
        <v>0.42500000000000004</v>
      </c>
      <c r="K306" s="138">
        <f>C306*2*D306</f>
        <v>4.25</v>
      </c>
      <c r="L306" s="140">
        <v>2</v>
      </c>
      <c r="M306" s="141">
        <f>D306*L306*3.28*0.668/2000</f>
        <v>1.8623840000000003E-2</v>
      </c>
      <c r="N306" s="142">
        <f>D306/0.4+1</f>
        <v>22.25</v>
      </c>
      <c r="O306" s="141">
        <f>G306*N306*3.28*0.668/2000</f>
        <v>0</v>
      </c>
      <c r="P306" s="142">
        <f>G306/0.4+1</f>
        <v>1</v>
      </c>
      <c r="Q306" s="139">
        <f>D306*0.55</f>
        <v>4.6750000000000007</v>
      </c>
      <c r="R306" s="139"/>
    </row>
    <row r="307" spans="1:18" x14ac:dyDescent="0.2">
      <c r="A307" s="147"/>
      <c r="D307" s="150"/>
      <c r="E307" s="150" t="s">
        <v>228</v>
      </c>
      <c r="F307" s="150" t="s">
        <v>228</v>
      </c>
      <c r="G307" s="150"/>
      <c r="H307" s="150">
        <f>H302+H297+H293</f>
        <v>185.72499999999999</v>
      </c>
      <c r="I307" s="150">
        <f>I302+I297+I293</f>
        <v>159.80000000000001</v>
      </c>
      <c r="J307" s="150">
        <f>J306+J302+J297+J293</f>
        <v>26.349999999999998</v>
      </c>
      <c r="K307" s="150">
        <f>K306+K302+K297+K293</f>
        <v>153.85</v>
      </c>
      <c r="L307" s="151" t="s">
        <v>229</v>
      </c>
      <c r="M307" s="152" t="e">
        <f>#REF!+M297+#REF!+M302+#REF!+M306+#REF!</f>
        <v>#REF!</v>
      </c>
      <c r="N307" s="153" t="s">
        <v>230</v>
      </c>
      <c r="O307" s="152" t="e">
        <f>#REF!+O297+#REF!+O302+#REF!+O306+#REF!</f>
        <v>#REF!</v>
      </c>
      <c r="P307" s="153" t="s">
        <v>230</v>
      </c>
      <c r="Q307" s="139"/>
      <c r="R307" s="139"/>
    </row>
    <row r="308" spans="1:18" x14ac:dyDescent="0.2">
      <c r="A308" s="137"/>
    </row>
    <row r="309" spans="1:18" x14ac:dyDescent="0.2">
      <c r="A309" s="147" t="s">
        <v>237</v>
      </c>
      <c r="H309" s="138"/>
      <c r="I309" s="138"/>
      <c r="J309" s="138"/>
      <c r="K309" s="138"/>
      <c r="L309" s="155"/>
      <c r="M309" s="139"/>
      <c r="O309" s="139"/>
      <c r="Q309" s="139"/>
      <c r="R309" s="141"/>
    </row>
    <row r="310" spans="1:18" x14ac:dyDescent="0.2">
      <c r="A310" s="147" t="s">
        <v>232</v>
      </c>
      <c r="H310" s="138"/>
      <c r="I310" s="138"/>
      <c r="J310" s="138"/>
      <c r="K310" s="138"/>
      <c r="Q310" s="139"/>
      <c r="R310" s="139"/>
    </row>
    <row r="311" spans="1:18" x14ac:dyDescent="0.2">
      <c r="A311" s="147"/>
      <c r="B311" s="111" t="s">
        <v>198</v>
      </c>
      <c r="C311" s="111" t="s">
        <v>199</v>
      </c>
      <c r="D311" s="111" t="s">
        <v>200</v>
      </c>
      <c r="E311" s="111" t="s">
        <v>201</v>
      </c>
      <c r="F311" s="111" t="s">
        <v>201</v>
      </c>
      <c r="G311" s="111"/>
      <c r="H311" s="148" t="s">
        <v>104</v>
      </c>
      <c r="I311" s="148" t="s">
        <v>202</v>
      </c>
      <c r="J311" s="148" t="s">
        <v>203</v>
      </c>
      <c r="K311" s="148" t="s">
        <v>204</v>
      </c>
      <c r="L311" s="111" t="s">
        <v>205</v>
      </c>
      <c r="M311" s="111" t="s">
        <v>205</v>
      </c>
      <c r="N311" s="111" t="s">
        <v>205</v>
      </c>
      <c r="O311" s="111" t="s">
        <v>205</v>
      </c>
      <c r="P311" s="111" t="s">
        <v>205</v>
      </c>
      <c r="Q311" s="139" t="s">
        <v>206</v>
      </c>
      <c r="R311" s="139"/>
    </row>
    <row r="312" spans="1:18" x14ac:dyDescent="0.2">
      <c r="A312" s="147" t="s">
        <v>207</v>
      </c>
      <c r="B312" s="111" t="s">
        <v>208</v>
      </c>
      <c r="C312" s="111" t="s">
        <v>208</v>
      </c>
      <c r="D312" s="111" t="s">
        <v>208</v>
      </c>
      <c r="E312" s="111" t="s">
        <v>208</v>
      </c>
      <c r="F312" s="111" t="s">
        <v>208</v>
      </c>
      <c r="G312" s="111"/>
      <c r="H312" s="148" t="s">
        <v>59</v>
      </c>
      <c r="I312" s="148" t="s">
        <v>59</v>
      </c>
      <c r="J312" s="148" t="s">
        <v>209</v>
      </c>
      <c r="K312" s="148" t="s">
        <v>5</v>
      </c>
      <c r="L312" s="111" t="s">
        <v>210</v>
      </c>
      <c r="M312" s="111" t="s">
        <v>211</v>
      </c>
      <c r="N312" s="111" t="s">
        <v>212</v>
      </c>
      <c r="O312" s="111" t="s">
        <v>211</v>
      </c>
      <c r="P312" s="111" t="s">
        <v>212</v>
      </c>
      <c r="Q312" s="139"/>
      <c r="R312" s="139"/>
    </row>
    <row r="313" spans="1:18" x14ac:dyDescent="0.2">
      <c r="A313" s="147"/>
      <c r="B313" s="111">
        <v>1.5</v>
      </c>
      <c r="C313" s="7">
        <v>0.3</v>
      </c>
      <c r="D313" s="7">
        <v>13</v>
      </c>
      <c r="E313" s="7">
        <v>1.5</v>
      </c>
      <c r="F313" s="7">
        <v>1.5</v>
      </c>
      <c r="H313" s="138">
        <f>B313*D313*E313</f>
        <v>29.25</v>
      </c>
      <c r="I313" s="138">
        <f>H313-J313</f>
        <v>23.4</v>
      </c>
      <c r="J313" s="138">
        <f>B313*C313*D313</f>
        <v>5.85</v>
      </c>
      <c r="K313" s="138">
        <f>C313*2*D313</f>
        <v>7.8</v>
      </c>
      <c r="L313" s="140">
        <f>D313/0.4+1</f>
        <v>33.5</v>
      </c>
      <c r="M313" s="140">
        <f>B313/0.3+1</f>
        <v>6</v>
      </c>
      <c r="N313" s="140">
        <f>B313/0.4+1</f>
        <v>4.75</v>
      </c>
      <c r="O313" s="140">
        <f>D313/0.3+1</f>
        <v>44.333333333333336</v>
      </c>
      <c r="P313" s="140">
        <f>D313/0.4+1</f>
        <v>33.5</v>
      </c>
      <c r="Q313" s="139"/>
      <c r="R313" s="139"/>
    </row>
    <row r="314" spans="1:18" x14ac:dyDescent="0.2">
      <c r="A314" s="147"/>
      <c r="B314" s="111">
        <v>0.25</v>
      </c>
      <c r="C314" s="7">
        <v>0.2</v>
      </c>
      <c r="D314" s="7">
        <v>13</v>
      </c>
      <c r="H314" s="138">
        <f>B314*C314*D314</f>
        <v>0.65</v>
      </c>
      <c r="I314" s="138"/>
      <c r="J314" s="138">
        <f>B314*C314*D314</f>
        <v>0.65</v>
      </c>
      <c r="K314" s="138"/>
      <c r="Q314" s="139"/>
      <c r="R314" s="139"/>
    </row>
    <row r="315" spans="1:18" x14ac:dyDescent="0.2">
      <c r="A315" s="147"/>
      <c r="H315" s="138">
        <f>SUM(H313:H314)</f>
        <v>29.9</v>
      </c>
      <c r="I315" s="138">
        <f>SUM(I313:I314)</f>
        <v>23.4</v>
      </c>
      <c r="J315" s="138">
        <f>SUM(J313:J314)</f>
        <v>6.5</v>
      </c>
      <c r="K315" s="138">
        <f>SUM(K313:K314)</f>
        <v>7.8</v>
      </c>
      <c r="Q315" s="139"/>
      <c r="R315" s="139"/>
    </row>
    <row r="316" spans="1:18" x14ac:dyDescent="0.2">
      <c r="A316" s="147"/>
      <c r="H316" s="138"/>
      <c r="I316" s="138"/>
      <c r="J316" s="138"/>
      <c r="K316" s="138"/>
      <c r="Q316" s="139" t="s">
        <v>213</v>
      </c>
      <c r="R316" s="139"/>
    </row>
    <row r="317" spans="1:18" x14ac:dyDescent="0.2">
      <c r="A317" s="147" t="s">
        <v>214</v>
      </c>
      <c r="B317" s="111" t="s">
        <v>198</v>
      </c>
      <c r="C317" s="111" t="s">
        <v>199</v>
      </c>
      <c r="D317" s="111" t="s">
        <v>200</v>
      </c>
      <c r="E317" s="111" t="s">
        <v>201</v>
      </c>
      <c r="F317" s="111" t="s">
        <v>201</v>
      </c>
      <c r="G317" s="111"/>
      <c r="H317" s="148" t="s">
        <v>104</v>
      </c>
      <c r="I317" s="148" t="s">
        <v>202</v>
      </c>
      <c r="J317" s="148" t="s">
        <v>203</v>
      </c>
      <c r="K317" s="148" t="s">
        <v>204</v>
      </c>
      <c r="L317" s="111" t="s">
        <v>205</v>
      </c>
      <c r="M317" s="148" t="s">
        <v>215</v>
      </c>
      <c r="N317" s="148" t="s">
        <v>238</v>
      </c>
      <c r="O317" s="148" t="s">
        <v>215</v>
      </c>
      <c r="P317" s="148" t="s">
        <v>238</v>
      </c>
      <c r="Q317" s="139" t="s">
        <v>217</v>
      </c>
      <c r="R317" s="139" t="s">
        <v>218</v>
      </c>
    </row>
    <row r="318" spans="1:18" x14ac:dyDescent="0.2">
      <c r="A318" s="147"/>
      <c r="B318" s="111" t="s">
        <v>208</v>
      </c>
      <c r="C318" s="111" t="s">
        <v>208</v>
      </c>
      <c r="D318" s="111" t="s">
        <v>208</v>
      </c>
      <c r="E318" s="111" t="s">
        <v>208</v>
      </c>
      <c r="F318" s="111" t="s">
        <v>208</v>
      </c>
      <c r="G318" s="111"/>
      <c r="H318" s="148" t="s">
        <v>59</v>
      </c>
      <c r="I318" s="148" t="s">
        <v>59</v>
      </c>
      <c r="J318" s="148" t="s">
        <v>209</v>
      </c>
      <c r="K318" s="148" t="s">
        <v>5</v>
      </c>
      <c r="L318" s="111" t="s">
        <v>219</v>
      </c>
      <c r="M318" s="148" t="s">
        <v>220</v>
      </c>
      <c r="N318" s="148" t="s">
        <v>220</v>
      </c>
      <c r="O318" s="148" t="s">
        <v>220</v>
      </c>
      <c r="P318" s="148" t="s">
        <v>220</v>
      </c>
      <c r="Q318" s="139" t="s">
        <v>5</v>
      </c>
      <c r="R318" s="139" t="s">
        <v>221</v>
      </c>
    </row>
    <row r="319" spans="1:18" x14ac:dyDescent="0.2">
      <c r="A319" s="147"/>
      <c r="B319" s="111">
        <v>0.3</v>
      </c>
      <c r="C319" s="7">
        <v>6</v>
      </c>
      <c r="D319" s="7">
        <v>13</v>
      </c>
      <c r="H319" s="138">
        <f>(B319+2)*C319*D319</f>
        <v>179.39999999999998</v>
      </c>
      <c r="I319" s="138">
        <f>H319-J319</f>
        <v>155.99999999999997</v>
      </c>
      <c r="J319" s="138">
        <f>B319*C319*D319</f>
        <v>23.4</v>
      </c>
      <c r="K319" s="138">
        <f>C319*2*D319</f>
        <v>156</v>
      </c>
      <c r="L319" s="140">
        <f>D319/0.2+1</f>
        <v>66</v>
      </c>
      <c r="M319" s="142">
        <f>(C319+0.7)*L319*3.28*0.668/2000</f>
        <v>0.48443894399999998</v>
      </c>
      <c r="N319" s="142">
        <f>(C319+0.7)*(D319/0.25+1)*3.28*1.5/2000</f>
        <v>0.87354600000000004</v>
      </c>
      <c r="O319" s="142">
        <f>(E319+0.7)*N319*3.28*0.668/2000</f>
        <v>6.6989097974400004E-4</v>
      </c>
      <c r="P319" s="142">
        <f>(E319+0.7)*(G319/0.25+1)*3.28*1.5/2000</f>
        <v>1.722E-3</v>
      </c>
      <c r="Q319" s="139" t="e">
        <f>#REF!</f>
        <v>#REF!</v>
      </c>
      <c r="R319" s="139">
        <v>2</v>
      </c>
    </row>
    <row r="320" spans="1:18" x14ac:dyDescent="0.2">
      <c r="A320" s="147"/>
      <c r="H320" s="138"/>
      <c r="I320" s="138"/>
      <c r="J320" s="138"/>
      <c r="K320" s="138"/>
      <c r="L320" s="140"/>
      <c r="M320" s="142"/>
      <c r="N320" s="142"/>
      <c r="O320" s="142"/>
      <c r="P320" s="142"/>
      <c r="Q320" s="139"/>
      <c r="R320" s="139"/>
    </row>
    <row r="321" spans="1:18" x14ac:dyDescent="0.2">
      <c r="A321" s="147"/>
      <c r="H321" s="138"/>
      <c r="I321" s="138"/>
      <c r="J321" s="138"/>
      <c r="K321" s="138"/>
      <c r="Q321" s="139" t="s">
        <v>213</v>
      </c>
      <c r="R321" s="139"/>
    </row>
    <row r="322" spans="1:18" x14ac:dyDescent="0.2">
      <c r="A322" s="147" t="s">
        <v>214</v>
      </c>
      <c r="B322" s="111" t="s">
        <v>198</v>
      </c>
      <c r="C322" s="111" t="s">
        <v>199</v>
      </c>
      <c r="D322" s="111" t="s">
        <v>200</v>
      </c>
      <c r="E322" s="111" t="s">
        <v>201</v>
      </c>
      <c r="F322" s="111" t="s">
        <v>201</v>
      </c>
      <c r="G322" s="111"/>
      <c r="H322" s="148" t="s">
        <v>104</v>
      </c>
      <c r="I322" s="148" t="s">
        <v>202</v>
      </c>
      <c r="J322" s="148" t="s">
        <v>203</v>
      </c>
      <c r="K322" s="148" t="s">
        <v>204</v>
      </c>
      <c r="L322" s="111" t="s">
        <v>205</v>
      </c>
      <c r="M322" s="148" t="s">
        <v>215</v>
      </c>
      <c r="N322" s="148" t="s">
        <v>216</v>
      </c>
      <c r="O322" s="148" t="s">
        <v>215</v>
      </c>
      <c r="P322" s="148" t="s">
        <v>216</v>
      </c>
      <c r="Q322" s="139" t="s">
        <v>217</v>
      </c>
      <c r="R322" s="139" t="s">
        <v>218</v>
      </c>
    </row>
    <row r="323" spans="1:18" x14ac:dyDescent="0.2">
      <c r="A323" s="147"/>
      <c r="B323" s="111" t="s">
        <v>208</v>
      </c>
      <c r="C323" s="111" t="s">
        <v>208</v>
      </c>
      <c r="D323" s="111" t="s">
        <v>208</v>
      </c>
      <c r="E323" s="111" t="s">
        <v>208</v>
      </c>
      <c r="F323" s="111" t="s">
        <v>208</v>
      </c>
      <c r="G323" s="111"/>
      <c r="H323" s="148" t="s">
        <v>59</v>
      </c>
      <c r="I323" s="148" t="s">
        <v>59</v>
      </c>
      <c r="J323" s="148" t="s">
        <v>209</v>
      </c>
      <c r="K323" s="148" t="s">
        <v>5</v>
      </c>
      <c r="L323" s="111" t="s">
        <v>219</v>
      </c>
      <c r="M323" s="148" t="s">
        <v>220</v>
      </c>
      <c r="N323" s="148" t="s">
        <v>220</v>
      </c>
      <c r="O323" s="148" t="s">
        <v>220</v>
      </c>
      <c r="P323" s="148" t="s">
        <v>220</v>
      </c>
      <c r="Q323" s="139" t="s">
        <v>5</v>
      </c>
      <c r="R323" s="139" t="s">
        <v>221</v>
      </c>
    </row>
    <row r="324" spans="1:18" x14ac:dyDescent="0.2">
      <c r="A324" s="147"/>
      <c r="B324" s="111">
        <v>0.3</v>
      </c>
      <c r="C324" s="7">
        <v>2.5</v>
      </c>
      <c r="D324" s="7">
        <v>13</v>
      </c>
      <c r="H324" s="138">
        <f>(B324+2)*C324*D324</f>
        <v>74.75</v>
      </c>
      <c r="I324" s="138">
        <f>H324-J324</f>
        <v>65</v>
      </c>
      <c r="J324" s="138">
        <f>B324*C324*D324</f>
        <v>9.75</v>
      </c>
      <c r="K324" s="138">
        <f>C324*2*D324</f>
        <v>65</v>
      </c>
      <c r="L324" s="140">
        <f>D324/0.2+1</f>
        <v>66</v>
      </c>
      <c r="M324" s="142">
        <f>(C324+0.7)*L324*3.28*0.668/2000</f>
        <v>0.23137382400000001</v>
      </c>
      <c r="N324" s="142">
        <f>(C324+0.7)*(D324/0.25+1)*3.28*1.04/2000</f>
        <v>0.28926976000000004</v>
      </c>
      <c r="O324" s="142">
        <f>(E324+0.7)*N324*3.28*0.668/2000</f>
        <v>2.2183056523264E-4</v>
      </c>
      <c r="P324" s="142">
        <f>(E324+0.7)*(G324/0.25+1)*3.28*1.04/2000</f>
        <v>1.1939199999999998E-3</v>
      </c>
      <c r="Q324" s="139" t="e">
        <f>#REF!</f>
        <v>#REF!</v>
      </c>
      <c r="R324" s="139">
        <v>2</v>
      </c>
    </row>
    <row r="325" spans="1:18" x14ac:dyDescent="0.2">
      <c r="A325" s="147"/>
      <c r="H325" s="138"/>
      <c r="I325" s="138"/>
      <c r="J325" s="138"/>
      <c r="K325" s="138"/>
      <c r="L325" s="140"/>
      <c r="M325" s="142"/>
      <c r="N325" s="142"/>
      <c r="O325" s="142"/>
      <c r="P325" s="142"/>
      <c r="Q325" s="139"/>
      <c r="R325" s="139"/>
    </row>
    <row r="326" spans="1:18" x14ac:dyDescent="0.2">
      <c r="A326" s="147" t="s">
        <v>222</v>
      </c>
      <c r="B326" s="111" t="s">
        <v>198</v>
      </c>
      <c r="C326" s="111" t="s">
        <v>199</v>
      </c>
      <c r="D326" s="111" t="s">
        <v>200</v>
      </c>
      <c r="E326" s="111" t="s">
        <v>201</v>
      </c>
      <c r="F326" s="111" t="s">
        <v>201</v>
      </c>
      <c r="G326" s="111"/>
      <c r="H326" s="148" t="s">
        <v>223</v>
      </c>
      <c r="I326" s="148" t="s">
        <v>224</v>
      </c>
      <c r="J326" s="148" t="s">
        <v>203</v>
      </c>
      <c r="K326" s="148" t="s">
        <v>204</v>
      </c>
      <c r="L326" s="111" t="s">
        <v>205</v>
      </c>
      <c r="M326" s="148" t="s">
        <v>215</v>
      </c>
      <c r="N326" s="111" t="s">
        <v>225</v>
      </c>
      <c r="O326" s="148" t="s">
        <v>215</v>
      </c>
      <c r="P326" s="111" t="s">
        <v>225</v>
      </c>
      <c r="Q326" s="139" t="s">
        <v>226</v>
      </c>
      <c r="R326" s="139"/>
    </row>
    <row r="327" spans="1:18" x14ac:dyDescent="0.2">
      <c r="A327" s="156"/>
      <c r="B327" s="111" t="s">
        <v>208</v>
      </c>
      <c r="C327" s="111" t="s">
        <v>208</v>
      </c>
      <c r="D327" s="7">
        <v>13</v>
      </c>
      <c r="E327" s="111" t="s">
        <v>208</v>
      </c>
      <c r="F327" s="111" t="s">
        <v>208</v>
      </c>
      <c r="G327" s="111"/>
      <c r="H327" s="148" t="s">
        <v>59</v>
      </c>
      <c r="I327" s="148" t="s">
        <v>27</v>
      </c>
      <c r="J327" s="148" t="s">
        <v>209</v>
      </c>
      <c r="K327" s="148" t="s">
        <v>5</v>
      </c>
      <c r="L327" s="111" t="s">
        <v>227</v>
      </c>
      <c r="M327" s="148" t="s">
        <v>220</v>
      </c>
      <c r="N327" s="111" t="s">
        <v>221</v>
      </c>
      <c r="O327" s="148" t="s">
        <v>220</v>
      </c>
      <c r="P327" s="111" t="s">
        <v>221</v>
      </c>
      <c r="Q327" s="139" t="s">
        <v>5</v>
      </c>
      <c r="R327" s="139"/>
    </row>
    <row r="328" spans="1:18" x14ac:dyDescent="0.2">
      <c r="A328" s="156"/>
      <c r="B328" s="111">
        <v>0.2</v>
      </c>
      <c r="C328" s="7">
        <v>0.25</v>
      </c>
      <c r="D328" s="7">
        <v>13</v>
      </c>
      <c r="E328" s="7">
        <v>0</v>
      </c>
      <c r="F328" s="7">
        <v>0</v>
      </c>
      <c r="H328" s="138">
        <f>0.3*0.6*D328</f>
        <v>2.34</v>
      </c>
      <c r="I328" s="138">
        <f>D328</f>
        <v>13</v>
      </c>
      <c r="J328" s="138">
        <f>B328*C328*D328</f>
        <v>0.65</v>
      </c>
      <c r="K328" s="138">
        <f>C328*2*D328</f>
        <v>6.5</v>
      </c>
      <c r="L328" s="140">
        <v>2</v>
      </c>
      <c r="M328" s="141">
        <f>D328*L328*3.28*0.668/2000</f>
        <v>2.8483520000000002E-2</v>
      </c>
      <c r="N328" s="142">
        <f>D328/0.4+1</f>
        <v>33.5</v>
      </c>
      <c r="O328" s="141">
        <f>G328*N328*3.28*0.668/2000</f>
        <v>0</v>
      </c>
      <c r="P328" s="142">
        <f>G328/0.4+1</f>
        <v>1</v>
      </c>
      <c r="Q328" s="139">
        <f>D328*0.55</f>
        <v>7.15</v>
      </c>
      <c r="R328" s="139"/>
    </row>
    <row r="329" spans="1:18" x14ac:dyDescent="0.2">
      <c r="A329" s="147"/>
      <c r="D329" s="150"/>
      <c r="E329" s="150" t="s">
        <v>228</v>
      </c>
      <c r="F329" s="150" t="s">
        <v>228</v>
      </c>
      <c r="G329" s="150"/>
      <c r="H329" s="150">
        <f>H324+H319+H315</f>
        <v>284.04999999999995</v>
      </c>
      <c r="I329" s="150">
        <f>I324+I319+I315</f>
        <v>244.39999999999998</v>
      </c>
      <c r="J329" s="150">
        <f>J328+J324+J319+J315</f>
        <v>40.299999999999997</v>
      </c>
      <c r="K329" s="150">
        <f>K328+K324+K319+K315</f>
        <v>235.3</v>
      </c>
      <c r="L329" s="151" t="s">
        <v>229</v>
      </c>
      <c r="M329" s="152" t="e">
        <f>#REF!+M319+#REF!+M324+#REF!+M328+#REF!</f>
        <v>#REF!</v>
      </c>
      <c r="N329" s="153" t="s">
        <v>230</v>
      </c>
      <c r="O329" s="152" t="e">
        <f>#REF!+O319+#REF!+O324+#REF!+O328+#REF!</f>
        <v>#REF!</v>
      </c>
      <c r="P329" s="153" t="s">
        <v>230</v>
      </c>
      <c r="Q329" s="139"/>
      <c r="R329" s="139"/>
    </row>
    <row r="330" spans="1:18" x14ac:dyDescent="0.2">
      <c r="A330" s="137"/>
    </row>
    <row r="331" spans="1:18" x14ac:dyDescent="0.2">
      <c r="A331" s="147" t="s">
        <v>237</v>
      </c>
      <c r="H331" s="138"/>
      <c r="I331" s="138"/>
      <c r="J331" s="138"/>
      <c r="K331" s="138"/>
      <c r="L331" s="155"/>
      <c r="M331" s="139"/>
      <c r="O331" s="139"/>
      <c r="Q331" s="139"/>
      <c r="R331" s="141"/>
    </row>
    <row r="332" spans="1:18" x14ac:dyDescent="0.2">
      <c r="A332" s="147" t="s">
        <v>232</v>
      </c>
      <c r="H332" s="138"/>
      <c r="I332" s="138"/>
      <c r="J332" s="138"/>
      <c r="K332" s="138"/>
      <c r="Q332" s="139"/>
      <c r="R332" s="139"/>
    </row>
    <row r="333" spans="1:18" x14ac:dyDescent="0.2">
      <c r="A333" s="147"/>
      <c r="B333" s="111" t="s">
        <v>198</v>
      </c>
      <c r="C333" s="111" t="s">
        <v>199</v>
      </c>
      <c r="D333" s="111" t="s">
        <v>200</v>
      </c>
      <c r="E333" s="111" t="s">
        <v>201</v>
      </c>
      <c r="F333" s="111" t="s">
        <v>201</v>
      </c>
      <c r="G333" s="111"/>
      <c r="H333" s="148" t="s">
        <v>104</v>
      </c>
      <c r="I333" s="148" t="s">
        <v>202</v>
      </c>
      <c r="J333" s="148" t="s">
        <v>203</v>
      </c>
      <c r="K333" s="148" t="s">
        <v>204</v>
      </c>
      <c r="L333" s="111" t="s">
        <v>205</v>
      </c>
      <c r="M333" s="111" t="s">
        <v>205</v>
      </c>
      <c r="N333" s="111" t="s">
        <v>205</v>
      </c>
      <c r="O333" s="111" t="s">
        <v>205</v>
      </c>
      <c r="P333" s="111" t="s">
        <v>205</v>
      </c>
      <c r="Q333" s="139" t="s">
        <v>206</v>
      </c>
      <c r="R333" s="139"/>
    </row>
    <row r="334" spans="1:18" x14ac:dyDescent="0.2">
      <c r="A334" s="147" t="s">
        <v>207</v>
      </c>
      <c r="B334" s="111" t="s">
        <v>208</v>
      </c>
      <c r="C334" s="111" t="s">
        <v>208</v>
      </c>
      <c r="D334" s="111" t="s">
        <v>208</v>
      </c>
      <c r="E334" s="111" t="s">
        <v>208</v>
      </c>
      <c r="F334" s="111" t="s">
        <v>208</v>
      </c>
      <c r="G334" s="111"/>
      <c r="H334" s="148" t="s">
        <v>59</v>
      </c>
      <c r="I334" s="148" t="s">
        <v>59</v>
      </c>
      <c r="J334" s="148" t="s">
        <v>209</v>
      </c>
      <c r="K334" s="148" t="s">
        <v>5</v>
      </c>
      <c r="L334" s="111" t="s">
        <v>210</v>
      </c>
      <c r="M334" s="111" t="s">
        <v>211</v>
      </c>
      <c r="N334" s="111" t="s">
        <v>212</v>
      </c>
      <c r="O334" s="111" t="s">
        <v>211</v>
      </c>
      <c r="P334" s="111" t="s">
        <v>212</v>
      </c>
      <c r="Q334" s="139"/>
      <c r="R334" s="139"/>
    </row>
    <row r="335" spans="1:18" x14ac:dyDescent="0.2">
      <c r="A335" s="147"/>
      <c r="B335" s="111">
        <v>1.5</v>
      </c>
      <c r="C335" s="7">
        <v>0.3</v>
      </c>
      <c r="D335" s="7">
        <v>7</v>
      </c>
      <c r="E335" s="7">
        <v>1.5</v>
      </c>
      <c r="F335" s="7">
        <v>1.5</v>
      </c>
      <c r="H335" s="138">
        <f>B335*D335*E335</f>
        <v>15.75</v>
      </c>
      <c r="I335" s="138">
        <f>H335-J335</f>
        <v>12.600000000000001</v>
      </c>
      <c r="J335" s="138">
        <f>B335*C335*D335</f>
        <v>3.1499999999999995</v>
      </c>
      <c r="K335" s="138">
        <f>C335*2*D335</f>
        <v>4.2</v>
      </c>
      <c r="L335" s="140">
        <f>D335/0.4+1</f>
        <v>18.5</v>
      </c>
      <c r="M335" s="140">
        <f>B335/0.3+1</f>
        <v>6</v>
      </c>
      <c r="N335" s="140">
        <f>B335/0.4+1</f>
        <v>4.75</v>
      </c>
      <c r="O335" s="140">
        <f>D335/0.3+1</f>
        <v>24.333333333333336</v>
      </c>
      <c r="P335" s="140">
        <f>D335/0.4+1</f>
        <v>18.5</v>
      </c>
      <c r="Q335" s="139"/>
      <c r="R335" s="139"/>
    </row>
    <row r="336" spans="1:18" x14ac:dyDescent="0.2">
      <c r="A336" s="147"/>
      <c r="B336" s="111">
        <v>0.25</v>
      </c>
      <c r="C336" s="7">
        <v>0.2</v>
      </c>
      <c r="D336" s="7">
        <v>7</v>
      </c>
      <c r="H336" s="138">
        <f>B336*C336*D336</f>
        <v>0.35000000000000003</v>
      </c>
      <c r="I336" s="138"/>
      <c r="J336" s="138">
        <f>B336*C336*D336</f>
        <v>0.35000000000000003</v>
      </c>
      <c r="K336" s="138"/>
      <c r="Q336" s="139"/>
      <c r="R336" s="139"/>
    </row>
    <row r="337" spans="1:18" x14ac:dyDescent="0.2">
      <c r="A337" s="147"/>
      <c r="H337" s="138">
        <f>SUM(H335:H336)</f>
        <v>16.100000000000001</v>
      </c>
      <c r="I337" s="138">
        <f>SUM(I335:I336)</f>
        <v>12.600000000000001</v>
      </c>
      <c r="J337" s="138">
        <f>SUM(J335:J336)</f>
        <v>3.4999999999999996</v>
      </c>
      <c r="K337" s="138">
        <f>SUM(K335:K336)</f>
        <v>4.2</v>
      </c>
      <c r="Q337" s="139"/>
      <c r="R337" s="139"/>
    </row>
    <row r="338" spans="1:18" x14ac:dyDescent="0.2">
      <c r="A338" s="147"/>
      <c r="H338" s="138"/>
      <c r="I338" s="138"/>
      <c r="J338" s="138"/>
      <c r="K338" s="138"/>
      <c r="Q338" s="139" t="s">
        <v>213</v>
      </c>
      <c r="R338" s="139"/>
    </row>
    <row r="339" spans="1:18" x14ac:dyDescent="0.2">
      <c r="A339" s="147" t="s">
        <v>214</v>
      </c>
      <c r="B339" s="111" t="s">
        <v>198</v>
      </c>
      <c r="C339" s="111" t="s">
        <v>199</v>
      </c>
      <c r="D339" s="111" t="s">
        <v>200</v>
      </c>
      <c r="E339" s="111" t="s">
        <v>201</v>
      </c>
      <c r="F339" s="111" t="s">
        <v>201</v>
      </c>
      <c r="G339" s="111"/>
      <c r="H339" s="148" t="s">
        <v>104</v>
      </c>
      <c r="I339" s="148" t="s">
        <v>202</v>
      </c>
      <c r="J339" s="148" t="s">
        <v>203</v>
      </c>
      <c r="K339" s="148" t="s">
        <v>204</v>
      </c>
      <c r="L339" s="111" t="s">
        <v>205</v>
      </c>
      <c r="M339" s="148" t="s">
        <v>215</v>
      </c>
      <c r="N339" s="148" t="s">
        <v>238</v>
      </c>
      <c r="O339" s="148" t="s">
        <v>215</v>
      </c>
      <c r="P339" s="148" t="s">
        <v>238</v>
      </c>
      <c r="Q339" s="139" t="s">
        <v>217</v>
      </c>
      <c r="R339" s="139" t="s">
        <v>218</v>
      </c>
    </row>
    <row r="340" spans="1:18" x14ac:dyDescent="0.2">
      <c r="A340" s="147"/>
      <c r="B340" s="111" t="s">
        <v>208</v>
      </c>
      <c r="C340" s="111" t="s">
        <v>208</v>
      </c>
      <c r="D340" s="111" t="s">
        <v>208</v>
      </c>
      <c r="E340" s="111" t="s">
        <v>208</v>
      </c>
      <c r="F340" s="111" t="s">
        <v>208</v>
      </c>
      <c r="G340" s="111"/>
      <c r="H340" s="148" t="s">
        <v>59</v>
      </c>
      <c r="I340" s="148" t="s">
        <v>59</v>
      </c>
      <c r="J340" s="148" t="s">
        <v>209</v>
      </c>
      <c r="K340" s="148" t="s">
        <v>5</v>
      </c>
      <c r="L340" s="111" t="s">
        <v>219</v>
      </c>
      <c r="M340" s="148" t="s">
        <v>220</v>
      </c>
      <c r="N340" s="148" t="s">
        <v>220</v>
      </c>
      <c r="O340" s="148" t="s">
        <v>220</v>
      </c>
      <c r="P340" s="148" t="s">
        <v>220</v>
      </c>
      <c r="Q340" s="139" t="s">
        <v>5</v>
      </c>
      <c r="R340" s="139" t="s">
        <v>221</v>
      </c>
    </row>
    <row r="341" spans="1:18" x14ac:dyDescent="0.2">
      <c r="A341" s="147"/>
      <c r="B341" s="111">
        <v>0.3</v>
      </c>
      <c r="C341" s="7">
        <v>6</v>
      </c>
      <c r="D341" s="7">
        <v>7</v>
      </c>
      <c r="H341" s="138">
        <f>(B341+2)*C341*D341</f>
        <v>96.6</v>
      </c>
      <c r="I341" s="138">
        <f>H341-J341</f>
        <v>84</v>
      </c>
      <c r="J341" s="138">
        <f>B341*C341*D341</f>
        <v>12.599999999999998</v>
      </c>
      <c r="K341" s="138">
        <f>C341*2*D341</f>
        <v>84</v>
      </c>
      <c r="L341" s="140">
        <f>D341/0.2+1</f>
        <v>36</v>
      </c>
      <c r="M341" s="142">
        <f>(C341+0.7)*L341*3.28*0.668/2000</f>
        <v>0.264239424</v>
      </c>
      <c r="N341" s="142">
        <f>(C341+0.7)*(D341/0.25+1)*3.28*1.5/2000</f>
        <v>0.47797799999999996</v>
      </c>
      <c r="O341" s="142">
        <f>(E341+0.7)*N341*3.28*0.668/2000</f>
        <v>3.6654412099199995E-4</v>
      </c>
      <c r="P341" s="142">
        <f>(E341+0.7)*(G341/0.25+1)*3.28*1.5/2000</f>
        <v>1.722E-3</v>
      </c>
      <c r="Q341" s="139" t="e">
        <f>#REF!</f>
        <v>#REF!</v>
      </c>
      <c r="R341" s="139">
        <v>2</v>
      </c>
    </row>
    <row r="342" spans="1:18" x14ac:dyDescent="0.2">
      <c r="A342" s="147"/>
      <c r="H342" s="138"/>
      <c r="I342" s="138"/>
      <c r="J342" s="138"/>
      <c r="K342" s="138"/>
      <c r="L342" s="140"/>
      <c r="M342" s="142"/>
      <c r="N342" s="142"/>
      <c r="O342" s="142"/>
      <c r="P342" s="142"/>
      <c r="Q342" s="139"/>
      <c r="R342" s="139"/>
    </row>
    <row r="343" spans="1:18" x14ac:dyDescent="0.2">
      <c r="A343" s="147"/>
      <c r="H343" s="138"/>
      <c r="I343" s="138"/>
      <c r="J343" s="138"/>
      <c r="K343" s="138"/>
      <c r="Q343" s="139" t="s">
        <v>213</v>
      </c>
      <c r="R343" s="139"/>
    </row>
    <row r="344" spans="1:18" x14ac:dyDescent="0.2">
      <c r="A344" s="147" t="s">
        <v>214</v>
      </c>
      <c r="B344" s="111" t="s">
        <v>198</v>
      </c>
      <c r="C344" s="111" t="s">
        <v>199</v>
      </c>
      <c r="D344" s="111" t="s">
        <v>200</v>
      </c>
      <c r="E344" s="111" t="s">
        <v>201</v>
      </c>
      <c r="F344" s="111" t="s">
        <v>201</v>
      </c>
      <c r="G344" s="111"/>
      <c r="H344" s="148" t="s">
        <v>104</v>
      </c>
      <c r="I344" s="148" t="s">
        <v>202</v>
      </c>
      <c r="J344" s="148" t="s">
        <v>203</v>
      </c>
      <c r="K344" s="148" t="s">
        <v>204</v>
      </c>
      <c r="L344" s="111" t="s">
        <v>205</v>
      </c>
      <c r="M344" s="148" t="s">
        <v>215</v>
      </c>
      <c r="N344" s="148" t="s">
        <v>216</v>
      </c>
      <c r="O344" s="148" t="s">
        <v>215</v>
      </c>
      <c r="P344" s="148" t="s">
        <v>216</v>
      </c>
      <c r="Q344" s="139" t="s">
        <v>217</v>
      </c>
      <c r="R344" s="139" t="s">
        <v>218</v>
      </c>
    </row>
    <row r="345" spans="1:18" x14ac:dyDescent="0.2">
      <c r="A345" s="147"/>
      <c r="B345" s="111" t="s">
        <v>208</v>
      </c>
      <c r="C345" s="111" t="s">
        <v>208</v>
      </c>
      <c r="D345" s="111" t="s">
        <v>208</v>
      </c>
      <c r="E345" s="111" t="s">
        <v>208</v>
      </c>
      <c r="F345" s="111" t="s">
        <v>208</v>
      </c>
      <c r="G345" s="111"/>
      <c r="H345" s="148" t="s">
        <v>59</v>
      </c>
      <c r="I345" s="148" t="s">
        <v>59</v>
      </c>
      <c r="J345" s="148" t="s">
        <v>209</v>
      </c>
      <c r="K345" s="148" t="s">
        <v>5</v>
      </c>
      <c r="L345" s="111" t="s">
        <v>219</v>
      </c>
      <c r="M345" s="148" t="s">
        <v>220</v>
      </c>
      <c r="N345" s="148" t="s">
        <v>220</v>
      </c>
      <c r="O345" s="148" t="s">
        <v>220</v>
      </c>
      <c r="P345" s="148" t="s">
        <v>220</v>
      </c>
      <c r="Q345" s="139" t="s">
        <v>5</v>
      </c>
      <c r="R345" s="139" t="s">
        <v>221</v>
      </c>
    </row>
    <row r="346" spans="1:18" x14ac:dyDescent="0.2">
      <c r="A346" s="147"/>
      <c r="B346" s="111">
        <v>0.3</v>
      </c>
      <c r="C346" s="7">
        <v>1.27</v>
      </c>
      <c r="D346" s="7">
        <v>7</v>
      </c>
      <c r="H346" s="138">
        <f>(B346+2)*C346*D346</f>
        <v>20.446999999999999</v>
      </c>
      <c r="I346" s="138">
        <f>H346-J346</f>
        <v>17.78</v>
      </c>
      <c r="J346" s="138">
        <f>B346*C346*D346</f>
        <v>2.6669999999999998</v>
      </c>
      <c r="K346" s="138">
        <f>C346*2*D346</f>
        <v>17.78</v>
      </c>
      <c r="L346" s="140">
        <f>D346/0.2+1</f>
        <v>36</v>
      </c>
      <c r="M346" s="142">
        <f>(C346+0.7)*L346*3.28*0.668/2000</f>
        <v>7.7694278399999997E-2</v>
      </c>
      <c r="N346" s="142">
        <f>(C346+0.7)*(D346/0.25+1)*3.28*1.04/2000</f>
        <v>9.744092800000001E-2</v>
      </c>
      <c r="O346" s="142">
        <f>(E346+0.7)*N346*3.28*0.668/2000</f>
        <v>7.4723939809791996E-5</v>
      </c>
      <c r="P346" s="142">
        <f>(E346+0.7)*(G346/0.25+1)*3.28*1.04/2000</f>
        <v>1.1939199999999998E-3</v>
      </c>
      <c r="Q346" s="139" t="e">
        <f>#REF!</f>
        <v>#REF!</v>
      </c>
      <c r="R346" s="139">
        <v>2</v>
      </c>
    </row>
    <row r="347" spans="1:18" x14ac:dyDescent="0.2">
      <c r="A347" s="147"/>
      <c r="H347" s="138"/>
      <c r="I347" s="138"/>
      <c r="J347" s="138"/>
      <c r="K347" s="138"/>
      <c r="L347" s="140"/>
      <c r="M347" s="142"/>
      <c r="N347" s="142"/>
      <c r="O347" s="142"/>
      <c r="P347" s="142"/>
      <c r="Q347" s="139"/>
      <c r="R347" s="139"/>
    </row>
    <row r="348" spans="1:18" x14ac:dyDescent="0.2">
      <c r="A348" s="147" t="s">
        <v>222</v>
      </c>
      <c r="B348" s="111" t="s">
        <v>198</v>
      </c>
      <c r="C348" s="111" t="s">
        <v>199</v>
      </c>
      <c r="D348" s="111" t="s">
        <v>200</v>
      </c>
      <c r="E348" s="111" t="s">
        <v>201</v>
      </c>
      <c r="F348" s="111" t="s">
        <v>201</v>
      </c>
      <c r="G348" s="111"/>
      <c r="H348" s="148" t="s">
        <v>223</v>
      </c>
      <c r="I348" s="148" t="s">
        <v>224</v>
      </c>
      <c r="J348" s="148" t="s">
        <v>203</v>
      </c>
      <c r="K348" s="148" t="s">
        <v>204</v>
      </c>
      <c r="L348" s="111" t="s">
        <v>205</v>
      </c>
      <c r="M348" s="148" t="s">
        <v>215</v>
      </c>
      <c r="N348" s="111" t="s">
        <v>225</v>
      </c>
      <c r="O348" s="148" t="s">
        <v>215</v>
      </c>
      <c r="P348" s="111" t="s">
        <v>225</v>
      </c>
      <c r="Q348" s="139" t="s">
        <v>226</v>
      </c>
      <c r="R348" s="139"/>
    </row>
    <row r="349" spans="1:18" x14ac:dyDescent="0.2">
      <c r="A349" s="147"/>
      <c r="B349" s="111" t="s">
        <v>208</v>
      </c>
      <c r="C349" s="111" t="s">
        <v>208</v>
      </c>
      <c r="D349" s="7">
        <v>7</v>
      </c>
      <c r="E349" s="111" t="s">
        <v>208</v>
      </c>
      <c r="F349" s="111" t="s">
        <v>208</v>
      </c>
      <c r="G349" s="111"/>
      <c r="H349" s="148" t="s">
        <v>59</v>
      </c>
      <c r="I349" s="148" t="s">
        <v>27</v>
      </c>
      <c r="J349" s="148" t="s">
        <v>209</v>
      </c>
      <c r="K349" s="148" t="s">
        <v>5</v>
      </c>
      <c r="L349" s="111" t="s">
        <v>227</v>
      </c>
      <c r="M349" s="148" t="s">
        <v>220</v>
      </c>
      <c r="N349" s="111" t="s">
        <v>221</v>
      </c>
      <c r="O349" s="148" t="s">
        <v>220</v>
      </c>
      <c r="P349" s="111" t="s">
        <v>221</v>
      </c>
      <c r="Q349" s="139" t="s">
        <v>5</v>
      </c>
      <c r="R349" s="139"/>
    </row>
    <row r="350" spans="1:18" x14ac:dyDescent="0.2">
      <c r="A350" s="147"/>
      <c r="B350" s="111">
        <v>0.2</v>
      </c>
      <c r="C350" s="7">
        <v>0.25</v>
      </c>
      <c r="D350" s="7">
        <v>7</v>
      </c>
      <c r="E350" s="7">
        <v>0</v>
      </c>
      <c r="F350" s="7">
        <v>0</v>
      </c>
      <c r="H350" s="138">
        <f>0.3*0.6*D350</f>
        <v>1.26</v>
      </c>
      <c r="I350" s="138">
        <f>D350</f>
        <v>7</v>
      </c>
      <c r="J350" s="138">
        <f>B350*C350*D350</f>
        <v>0.35000000000000003</v>
      </c>
      <c r="K350" s="138">
        <f>C350*2*D350</f>
        <v>3.5</v>
      </c>
      <c r="L350" s="140">
        <v>2</v>
      </c>
      <c r="M350" s="141">
        <f>D350*L350*3.28*0.668/2000</f>
        <v>1.533728E-2</v>
      </c>
      <c r="N350" s="142">
        <f>D350/0.4+1</f>
        <v>18.5</v>
      </c>
      <c r="O350" s="141">
        <f>G350*N350*3.28*0.668/2000</f>
        <v>0</v>
      </c>
      <c r="P350" s="142">
        <f>G350/0.4+1</f>
        <v>1</v>
      </c>
      <c r="Q350" s="139">
        <f>D350*0.55</f>
        <v>3.8500000000000005</v>
      </c>
      <c r="R350" s="139"/>
    </row>
    <row r="351" spans="1:18" x14ac:dyDescent="0.2">
      <c r="A351" s="147"/>
      <c r="D351" s="150"/>
      <c r="E351" s="150" t="s">
        <v>228</v>
      </c>
      <c r="F351" s="150" t="s">
        <v>228</v>
      </c>
      <c r="G351" s="150"/>
      <c r="H351" s="150">
        <f>H346+H341+H337</f>
        <v>133.14699999999999</v>
      </c>
      <c r="I351" s="150">
        <f>I346+I341+I337</f>
        <v>114.38</v>
      </c>
      <c r="J351" s="150">
        <f>J350+J346+J341+J337</f>
        <v>19.116999999999997</v>
      </c>
      <c r="K351" s="150">
        <f>K350+K346+K341+K337</f>
        <v>109.48</v>
      </c>
      <c r="L351" s="151" t="s">
        <v>229</v>
      </c>
      <c r="M351" s="152" t="e">
        <f>#REF!+M341+#REF!+M346+#REF!+M350+#REF!</f>
        <v>#REF!</v>
      </c>
      <c r="N351" s="153" t="s">
        <v>230</v>
      </c>
      <c r="O351" s="152" t="e">
        <f>#REF!+O341+#REF!+O346+#REF!+O350+#REF!</f>
        <v>#REF!</v>
      </c>
      <c r="P351" s="153" t="s">
        <v>230</v>
      </c>
      <c r="Q351" s="139"/>
      <c r="R351" s="139"/>
    </row>
    <row r="352" spans="1:18" x14ac:dyDescent="0.2">
      <c r="A352" s="137"/>
    </row>
    <row r="353" spans="1:18" x14ac:dyDescent="0.2">
      <c r="A353" s="137"/>
    </row>
    <row r="354" spans="1:18" x14ac:dyDescent="0.2">
      <c r="A354" s="147" t="s">
        <v>237</v>
      </c>
      <c r="H354" s="138"/>
      <c r="I354" s="138"/>
      <c r="J354" s="138"/>
      <c r="K354" s="138"/>
      <c r="L354" s="155"/>
      <c r="M354" s="139"/>
      <c r="O354" s="139"/>
      <c r="Q354" s="139"/>
      <c r="R354" s="141"/>
    </row>
    <row r="355" spans="1:18" x14ac:dyDescent="0.2">
      <c r="A355" s="147" t="s">
        <v>232</v>
      </c>
      <c r="H355" s="138"/>
      <c r="I355" s="138"/>
      <c r="J355" s="138"/>
      <c r="K355" s="138"/>
      <c r="Q355" s="139"/>
      <c r="R355" s="139"/>
    </row>
    <row r="356" spans="1:18" x14ac:dyDescent="0.2">
      <c r="A356" s="147"/>
      <c r="B356" s="111" t="s">
        <v>198</v>
      </c>
      <c r="C356" s="111" t="s">
        <v>199</v>
      </c>
      <c r="D356" s="111" t="s">
        <v>200</v>
      </c>
      <c r="E356" s="111" t="s">
        <v>201</v>
      </c>
      <c r="F356" s="111" t="s">
        <v>201</v>
      </c>
      <c r="G356" s="111"/>
      <c r="H356" s="148" t="s">
        <v>104</v>
      </c>
      <c r="I356" s="148" t="s">
        <v>202</v>
      </c>
      <c r="J356" s="148" t="s">
        <v>203</v>
      </c>
      <c r="K356" s="148" t="s">
        <v>204</v>
      </c>
      <c r="L356" s="111" t="s">
        <v>205</v>
      </c>
      <c r="M356" s="111" t="s">
        <v>205</v>
      </c>
      <c r="N356" s="111" t="s">
        <v>205</v>
      </c>
      <c r="O356" s="111" t="s">
        <v>205</v>
      </c>
      <c r="P356" s="111" t="s">
        <v>205</v>
      </c>
      <c r="Q356" s="139" t="s">
        <v>206</v>
      </c>
      <c r="R356" s="139"/>
    </row>
    <row r="357" spans="1:18" x14ac:dyDescent="0.2">
      <c r="A357" s="147" t="s">
        <v>207</v>
      </c>
      <c r="B357" s="111" t="s">
        <v>208</v>
      </c>
      <c r="C357" s="111" t="s">
        <v>208</v>
      </c>
      <c r="D357" s="111" t="s">
        <v>208</v>
      </c>
      <c r="E357" s="111" t="s">
        <v>208</v>
      </c>
      <c r="F357" s="111" t="s">
        <v>208</v>
      </c>
      <c r="G357" s="111"/>
      <c r="H357" s="148" t="s">
        <v>59</v>
      </c>
      <c r="I357" s="148" t="s">
        <v>59</v>
      </c>
      <c r="J357" s="148" t="s">
        <v>209</v>
      </c>
      <c r="K357" s="148" t="s">
        <v>5</v>
      </c>
      <c r="L357" s="111" t="s">
        <v>210</v>
      </c>
      <c r="M357" s="111" t="s">
        <v>211</v>
      </c>
      <c r="N357" s="111" t="s">
        <v>212</v>
      </c>
      <c r="O357" s="111" t="s">
        <v>211</v>
      </c>
      <c r="P357" s="111" t="s">
        <v>212</v>
      </c>
      <c r="Q357" s="139"/>
      <c r="R357" s="139"/>
    </row>
    <row r="358" spans="1:18" x14ac:dyDescent="0.2">
      <c r="A358" s="147"/>
      <c r="B358" s="111">
        <v>1.5</v>
      </c>
      <c r="C358" s="7">
        <v>0.3</v>
      </c>
      <c r="D358" s="7">
        <v>7.2</v>
      </c>
      <c r="E358" s="7">
        <v>1.5</v>
      </c>
      <c r="F358" s="7">
        <v>1.5</v>
      </c>
      <c r="H358" s="138">
        <f>B358*D358*E358</f>
        <v>16.200000000000003</v>
      </c>
      <c r="I358" s="138">
        <f>H358-J358</f>
        <v>12.960000000000003</v>
      </c>
      <c r="J358" s="138">
        <f>B358*C358*D358</f>
        <v>3.2399999999999998</v>
      </c>
      <c r="K358" s="138">
        <f>C358*2*D358</f>
        <v>4.32</v>
      </c>
      <c r="L358" s="140">
        <f>D358/0.4+1</f>
        <v>19</v>
      </c>
      <c r="M358" s="140">
        <f>B358/0.3+1</f>
        <v>6</v>
      </c>
      <c r="N358" s="140">
        <f>B358/0.4+1</f>
        <v>4.75</v>
      </c>
      <c r="O358" s="140">
        <f>D358/0.3+1</f>
        <v>25</v>
      </c>
      <c r="P358" s="140">
        <f>D358/0.4+1</f>
        <v>19</v>
      </c>
      <c r="Q358" s="139"/>
      <c r="R358" s="139"/>
    </row>
    <row r="359" spans="1:18" x14ac:dyDescent="0.2">
      <c r="A359" s="147"/>
      <c r="B359" s="111">
        <v>0.25</v>
      </c>
      <c r="C359" s="7">
        <v>0.2</v>
      </c>
      <c r="D359" s="7">
        <v>7.2</v>
      </c>
      <c r="H359" s="138">
        <f>B359*C359*D359</f>
        <v>0.36000000000000004</v>
      </c>
      <c r="I359" s="138"/>
      <c r="J359" s="138">
        <f>B359*C359*D359</f>
        <v>0.36000000000000004</v>
      </c>
      <c r="K359" s="138"/>
      <c r="Q359" s="139"/>
      <c r="R359" s="139"/>
    </row>
    <row r="360" spans="1:18" x14ac:dyDescent="0.2">
      <c r="A360" s="147"/>
      <c r="H360" s="138">
        <f>SUM(H358:H359)</f>
        <v>16.560000000000002</v>
      </c>
      <c r="I360" s="138">
        <f>SUM(I358:I359)</f>
        <v>12.960000000000003</v>
      </c>
      <c r="J360" s="138">
        <f>SUM(J358:J359)</f>
        <v>3.5999999999999996</v>
      </c>
      <c r="K360" s="138">
        <f>SUM(K358:K359)</f>
        <v>4.32</v>
      </c>
      <c r="Q360" s="139"/>
      <c r="R360" s="139"/>
    </row>
    <row r="361" spans="1:18" x14ac:dyDescent="0.2">
      <c r="A361" s="147"/>
      <c r="H361" s="138"/>
      <c r="I361" s="138"/>
      <c r="J361" s="138"/>
      <c r="K361" s="138"/>
      <c r="Q361" s="139" t="s">
        <v>213</v>
      </c>
      <c r="R361" s="139"/>
    </row>
    <row r="362" spans="1:18" x14ac:dyDescent="0.2">
      <c r="A362" s="147" t="s">
        <v>214</v>
      </c>
      <c r="B362" s="111" t="s">
        <v>198</v>
      </c>
      <c r="C362" s="111" t="s">
        <v>199</v>
      </c>
      <c r="D362" s="111" t="s">
        <v>200</v>
      </c>
      <c r="E362" s="111" t="s">
        <v>201</v>
      </c>
      <c r="F362" s="111" t="s">
        <v>201</v>
      </c>
      <c r="G362" s="111"/>
      <c r="H362" s="148" t="s">
        <v>104</v>
      </c>
      <c r="I362" s="148" t="s">
        <v>202</v>
      </c>
      <c r="J362" s="148" t="s">
        <v>203</v>
      </c>
      <c r="K362" s="148" t="s">
        <v>204</v>
      </c>
      <c r="L362" s="111" t="s">
        <v>205</v>
      </c>
      <c r="M362" s="148" t="s">
        <v>215</v>
      </c>
      <c r="N362" s="148" t="s">
        <v>238</v>
      </c>
      <c r="O362" s="148" t="s">
        <v>215</v>
      </c>
      <c r="P362" s="148" t="s">
        <v>238</v>
      </c>
      <c r="Q362" s="139" t="s">
        <v>217</v>
      </c>
      <c r="R362" s="139" t="s">
        <v>218</v>
      </c>
    </row>
    <row r="363" spans="1:18" x14ac:dyDescent="0.2">
      <c r="A363" s="147"/>
      <c r="B363" s="111" t="s">
        <v>208</v>
      </c>
      <c r="C363" s="111" t="s">
        <v>208</v>
      </c>
      <c r="D363" s="7">
        <v>7.2</v>
      </c>
      <c r="E363" s="111" t="s">
        <v>208</v>
      </c>
      <c r="F363" s="111" t="s">
        <v>208</v>
      </c>
      <c r="G363" s="111"/>
      <c r="H363" s="148" t="s">
        <v>59</v>
      </c>
      <c r="I363" s="148" t="s">
        <v>59</v>
      </c>
      <c r="J363" s="148" t="s">
        <v>209</v>
      </c>
      <c r="K363" s="148" t="s">
        <v>5</v>
      </c>
      <c r="L363" s="111" t="s">
        <v>219</v>
      </c>
      <c r="M363" s="148" t="s">
        <v>220</v>
      </c>
      <c r="N363" s="148" t="s">
        <v>220</v>
      </c>
      <c r="O363" s="148" t="s">
        <v>220</v>
      </c>
      <c r="P363" s="148" t="s">
        <v>220</v>
      </c>
      <c r="Q363" s="139" t="s">
        <v>5</v>
      </c>
      <c r="R363" s="139" t="s">
        <v>221</v>
      </c>
    </row>
    <row r="364" spans="1:18" x14ac:dyDescent="0.2">
      <c r="A364" s="147"/>
      <c r="B364" s="111">
        <v>0.3</v>
      </c>
      <c r="C364" s="7">
        <v>6</v>
      </c>
      <c r="D364" s="7">
        <v>7.2</v>
      </c>
      <c r="H364" s="138">
        <f>(B364+2)*C364*D364</f>
        <v>99.36</v>
      </c>
      <c r="I364" s="138">
        <f>H364-J364</f>
        <v>86.4</v>
      </c>
      <c r="J364" s="138">
        <f>B364*C364*D364</f>
        <v>12.959999999999999</v>
      </c>
      <c r="K364" s="138">
        <f>C364*2*D364</f>
        <v>86.4</v>
      </c>
      <c r="L364" s="140">
        <f>D364/0.2+1</f>
        <v>37</v>
      </c>
      <c r="M364" s="142">
        <f>(C364+0.7)*L364*3.28*0.668/2000</f>
        <v>0.27157940800000002</v>
      </c>
      <c r="N364" s="142">
        <f>(C364+0.7)*(D364/0.25+1)*3.28*1.5/2000</f>
        <v>0.49116359999999998</v>
      </c>
      <c r="O364" s="142">
        <f>(E364+0.7)*N364*3.28*0.668/2000</f>
        <v>3.7665568295039989E-4</v>
      </c>
      <c r="P364" s="142">
        <f>(E364+0.7)*(G364/0.25+1)*3.28*1.5/2000</f>
        <v>1.722E-3</v>
      </c>
      <c r="Q364" s="139" t="e">
        <f>#REF!</f>
        <v>#REF!</v>
      </c>
      <c r="R364" s="139">
        <v>2</v>
      </c>
    </row>
    <row r="365" spans="1:18" x14ac:dyDescent="0.2">
      <c r="A365" s="147"/>
      <c r="H365" s="138"/>
      <c r="I365" s="138"/>
      <c r="J365" s="138"/>
      <c r="K365" s="138"/>
      <c r="L365" s="140"/>
      <c r="M365" s="142"/>
      <c r="N365" s="142"/>
      <c r="O365" s="142"/>
      <c r="P365" s="142"/>
      <c r="Q365" s="139"/>
      <c r="R365" s="139"/>
    </row>
    <row r="366" spans="1:18" x14ac:dyDescent="0.2">
      <c r="A366" s="147"/>
      <c r="H366" s="138"/>
      <c r="I366" s="138"/>
      <c r="J366" s="138"/>
      <c r="K366" s="138"/>
      <c r="Q366" s="139" t="s">
        <v>213</v>
      </c>
      <c r="R366" s="139"/>
    </row>
    <row r="367" spans="1:18" x14ac:dyDescent="0.2">
      <c r="A367" s="147" t="s">
        <v>214</v>
      </c>
      <c r="B367" s="111" t="s">
        <v>198</v>
      </c>
      <c r="C367" s="111" t="s">
        <v>199</v>
      </c>
      <c r="D367" s="111" t="s">
        <v>200</v>
      </c>
      <c r="E367" s="111" t="s">
        <v>201</v>
      </c>
      <c r="F367" s="111" t="s">
        <v>201</v>
      </c>
      <c r="G367" s="111"/>
      <c r="H367" s="148" t="s">
        <v>104</v>
      </c>
      <c r="I367" s="148" t="s">
        <v>202</v>
      </c>
      <c r="J367" s="148" t="s">
        <v>203</v>
      </c>
      <c r="K367" s="148" t="s">
        <v>204</v>
      </c>
      <c r="L367" s="111" t="s">
        <v>205</v>
      </c>
      <c r="M367" s="148" t="s">
        <v>215</v>
      </c>
      <c r="N367" s="148" t="s">
        <v>216</v>
      </c>
      <c r="O367" s="148" t="s">
        <v>215</v>
      </c>
      <c r="P367" s="148" t="s">
        <v>216</v>
      </c>
      <c r="Q367" s="139" t="s">
        <v>217</v>
      </c>
      <c r="R367" s="139" t="s">
        <v>218</v>
      </c>
    </row>
    <row r="368" spans="1:18" x14ac:dyDescent="0.2">
      <c r="A368" s="147"/>
      <c r="B368" s="111" t="s">
        <v>208</v>
      </c>
      <c r="C368" s="111" t="s">
        <v>208</v>
      </c>
      <c r="D368" s="111" t="s">
        <v>208</v>
      </c>
      <c r="E368" s="111" t="s">
        <v>208</v>
      </c>
      <c r="F368" s="111" t="s">
        <v>208</v>
      </c>
      <c r="G368" s="111"/>
      <c r="H368" s="148" t="s">
        <v>59</v>
      </c>
      <c r="I368" s="148" t="s">
        <v>59</v>
      </c>
      <c r="J368" s="148" t="s">
        <v>209</v>
      </c>
      <c r="K368" s="148" t="s">
        <v>5</v>
      </c>
      <c r="L368" s="111" t="s">
        <v>219</v>
      </c>
      <c r="M368" s="148" t="s">
        <v>220</v>
      </c>
      <c r="N368" s="148" t="s">
        <v>220</v>
      </c>
      <c r="O368" s="148" t="s">
        <v>220</v>
      </c>
      <c r="P368" s="148" t="s">
        <v>220</v>
      </c>
      <c r="Q368" s="139" t="s">
        <v>5</v>
      </c>
      <c r="R368" s="139" t="s">
        <v>221</v>
      </c>
    </row>
    <row r="369" spans="1:18" x14ac:dyDescent="0.2">
      <c r="A369" s="147"/>
      <c r="B369" s="111">
        <v>0.3</v>
      </c>
      <c r="C369" s="7">
        <v>3.56</v>
      </c>
      <c r="D369" s="7">
        <v>7.2</v>
      </c>
      <c r="H369" s="138">
        <f>(B369+2)*C369*D369</f>
        <v>58.953599999999994</v>
      </c>
      <c r="I369" s="138">
        <f>H369-J369</f>
        <v>51.263999999999996</v>
      </c>
      <c r="J369" s="138">
        <f>B369*C369*D369</f>
        <v>7.6896000000000004</v>
      </c>
      <c r="K369" s="138">
        <f>C369*2*D369</f>
        <v>51.264000000000003</v>
      </c>
      <c r="L369" s="140">
        <f>D369/0.2+1</f>
        <v>37</v>
      </c>
      <c r="M369" s="142">
        <f>(C369+0.7)*L369*3.28*0.668/2000</f>
        <v>0.17267586240000002</v>
      </c>
      <c r="N369" s="142">
        <f>(C369+0.7)*(D369/0.25+1)*3.28*1.04/2000</f>
        <v>0.21652250879999999</v>
      </c>
      <c r="O369" s="142">
        <f>(E369+0.7)*N369*3.28*0.668/2000</f>
        <v>1.6604331718840317E-4</v>
      </c>
      <c r="P369" s="142">
        <f>(E369+0.7)*(G369/0.25+1)*3.28*1.04/2000</f>
        <v>1.1939199999999998E-3</v>
      </c>
      <c r="Q369" s="139" t="e">
        <f>#REF!</f>
        <v>#REF!</v>
      </c>
      <c r="R369" s="139">
        <v>2</v>
      </c>
    </row>
    <row r="370" spans="1:18" x14ac:dyDescent="0.2">
      <c r="A370" s="147"/>
      <c r="H370" s="138"/>
      <c r="I370" s="138"/>
      <c r="J370" s="138"/>
      <c r="K370" s="138"/>
      <c r="L370" s="140"/>
      <c r="M370" s="142"/>
      <c r="N370" s="142"/>
      <c r="O370" s="142"/>
      <c r="P370" s="142"/>
      <c r="Q370" s="139"/>
      <c r="R370" s="139"/>
    </row>
    <row r="371" spans="1:18" x14ac:dyDescent="0.2">
      <c r="A371" s="147" t="s">
        <v>222</v>
      </c>
      <c r="B371" s="111" t="s">
        <v>198</v>
      </c>
      <c r="C371" s="111" t="s">
        <v>199</v>
      </c>
      <c r="D371" s="111" t="s">
        <v>200</v>
      </c>
      <c r="E371" s="111" t="s">
        <v>201</v>
      </c>
      <c r="F371" s="111" t="s">
        <v>201</v>
      </c>
      <c r="G371" s="111"/>
      <c r="H371" s="148" t="s">
        <v>223</v>
      </c>
      <c r="I371" s="148" t="s">
        <v>224</v>
      </c>
      <c r="J371" s="148" t="s">
        <v>203</v>
      </c>
      <c r="K371" s="148" t="s">
        <v>204</v>
      </c>
      <c r="L371" s="111" t="s">
        <v>205</v>
      </c>
      <c r="M371" s="148" t="s">
        <v>215</v>
      </c>
      <c r="N371" s="111" t="s">
        <v>225</v>
      </c>
      <c r="O371" s="148" t="s">
        <v>215</v>
      </c>
      <c r="P371" s="111" t="s">
        <v>225</v>
      </c>
      <c r="Q371" s="139" t="s">
        <v>226</v>
      </c>
      <c r="R371" s="139"/>
    </row>
    <row r="372" spans="1:18" x14ac:dyDescent="0.2">
      <c r="A372" s="147"/>
      <c r="B372" s="111" t="s">
        <v>208</v>
      </c>
      <c r="C372" s="111" t="s">
        <v>208</v>
      </c>
      <c r="D372" s="7">
        <v>7.2</v>
      </c>
      <c r="E372" s="111" t="s">
        <v>208</v>
      </c>
      <c r="F372" s="111" t="s">
        <v>208</v>
      </c>
      <c r="G372" s="111"/>
      <c r="H372" s="148" t="s">
        <v>59</v>
      </c>
      <c r="I372" s="148" t="s">
        <v>27</v>
      </c>
      <c r="J372" s="148" t="s">
        <v>209</v>
      </c>
      <c r="K372" s="148" t="s">
        <v>5</v>
      </c>
      <c r="L372" s="111" t="s">
        <v>227</v>
      </c>
      <c r="M372" s="148" t="s">
        <v>220</v>
      </c>
      <c r="N372" s="111" t="s">
        <v>221</v>
      </c>
      <c r="O372" s="148" t="s">
        <v>220</v>
      </c>
      <c r="P372" s="111" t="s">
        <v>221</v>
      </c>
      <c r="Q372" s="139" t="s">
        <v>5</v>
      </c>
      <c r="R372" s="139"/>
    </row>
    <row r="373" spans="1:18" x14ac:dyDescent="0.2">
      <c r="A373" s="147"/>
      <c r="B373" s="111">
        <v>0.2</v>
      </c>
      <c r="C373" s="7">
        <v>0.25</v>
      </c>
      <c r="D373" s="7">
        <v>7.2</v>
      </c>
      <c r="E373" s="7">
        <v>0</v>
      </c>
      <c r="F373" s="7">
        <v>0</v>
      </c>
      <c r="H373" s="138">
        <f>0.3*0.6*D373</f>
        <v>1.296</v>
      </c>
      <c r="I373" s="138">
        <f>D373</f>
        <v>7.2</v>
      </c>
      <c r="J373" s="138">
        <f>B373*C373*D373</f>
        <v>0.36000000000000004</v>
      </c>
      <c r="K373" s="138">
        <f>C373*2*D373</f>
        <v>3.6</v>
      </c>
      <c r="L373" s="140">
        <v>2</v>
      </c>
      <c r="M373" s="141">
        <f>D373*L373*3.28*0.668/2000</f>
        <v>1.5775488000000001E-2</v>
      </c>
      <c r="N373" s="142">
        <f>D373/0.4+1</f>
        <v>19</v>
      </c>
      <c r="O373" s="141">
        <f>G373*N373*3.28*0.668/2000</f>
        <v>0</v>
      </c>
      <c r="P373" s="142">
        <f>G373/0.4+1</f>
        <v>1</v>
      </c>
      <c r="Q373" s="139">
        <f>D373*0.55</f>
        <v>3.9600000000000004</v>
      </c>
      <c r="R373" s="139"/>
    </row>
    <row r="374" spans="1:18" x14ac:dyDescent="0.2">
      <c r="A374" s="147"/>
      <c r="D374" s="150"/>
      <c r="E374" s="150" t="s">
        <v>228</v>
      </c>
      <c r="F374" s="150" t="s">
        <v>228</v>
      </c>
      <c r="G374" s="150"/>
      <c r="H374" s="150">
        <f>H369+H364+H360</f>
        <v>174.87360000000001</v>
      </c>
      <c r="I374" s="150">
        <f>I369+I364+I360</f>
        <v>150.624</v>
      </c>
      <c r="J374" s="150">
        <f>J373+J369+J364+J360</f>
        <v>24.6096</v>
      </c>
      <c r="K374" s="150">
        <f>K373+K369+K364+K360</f>
        <v>145.584</v>
      </c>
      <c r="L374" s="151" t="s">
        <v>229</v>
      </c>
      <c r="M374" s="152" t="e">
        <f>#REF!+M364+#REF!+M369+#REF!+M373+#REF!</f>
        <v>#REF!</v>
      </c>
      <c r="N374" s="153" t="s">
        <v>230</v>
      </c>
      <c r="O374" s="152" t="e">
        <f>#REF!+O364+#REF!+O369+#REF!+O373+#REF!</f>
        <v>#REF!</v>
      </c>
      <c r="P374" s="153" t="s">
        <v>230</v>
      </c>
      <c r="Q374" s="139"/>
      <c r="R374" s="139"/>
    </row>
    <row r="375" spans="1:18" x14ac:dyDescent="0.2">
      <c r="A375" s="137"/>
    </row>
    <row r="376" spans="1:18" x14ac:dyDescent="0.2">
      <c r="A376" s="147" t="s">
        <v>239</v>
      </c>
      <c r="H376" s="138"/>
      <c r="I376" s="138"/>
      <c r="J376" s="138"/>
      <c r="K376" s="138"/>
      <c r="L376" s="155"/>
      <c r="M376" s="139"/>
      <c r="O376" s="139"/>
      <c r="Q376" s="139"/>
      <c r="R376" s="141"/>
    </row>
    <row r="377" spans="1:18" x14ac:dyDescent="0.2">
      <c r="A377" s="147" t="s">
        <v>232</v>
      </c>
      <c r="H377" s="138"/>
      <c r="I377" s="138"/>
      <c r="J377" s="138"/>
      <c r="K377" s="138"/>
      <c r="Q377" s="139"/>
      <c r="R377" s="139"/>
    </row>
    <row r="378" spans="1:18" x14ac:dyDescent="0.2">
      <c r="A378" s="147"/>
      <c r="B378" s="111" t="s">
        <v>198</v>
      </c>
      <c r="C378" s="111" t="s">
        <v>199</v>
      </c>
      <c r="D378" s="111" t="s">
        <v>200</v>
      </c>
      <c r="E378" s="111" t="s">
        <v>201</v>
      </c>
      <c r="F378" s="111" t="s">
        <v>201</v>
      </c>
      <c r="G378" s="111"/>
      <c r="H378" s="148" t="s">
        <v>104</v>
      </c>
      <c r="I378" s="148" t="s">
        <v>202</v>
      </c>
      <c r="J378" s="148" t="s">
        <v>203</v>
      </c>
      <c r="K378" s="148" t="s">
        <v>204</v>
      </c>
      <c r="L378" s="111" t="s">
        <v>205</v>
      </c>
      <c r="M378" s="111" t="s">
        <v>205</v>
      </c>
      <c r="N378" s="111" t="s">
        <v>205</v>
      </c>
      <c r="O378" s="111" t="s">
        <v>205</v>
      </c>
      <c r="P378" s="111" t="s">
        <v>205</v>
      </c>
      <c r="Q378" s="139" t="s">
        <v>206</v>
      </c>
      <c r="R378" s="139"/>
    </row>
    <row r="379" spans="1:18" x14ac:dyDescent="0.2">
      <c r="A379" s="147" t="s">
        <v>207</v>
      </c>
      <c r="B379" s="111" t="s">
        <v>208</v>
      </c>
      <c r="C379" s="111" t="s">
        <v>208</v>
      </c>
      <c r="D379" s="111" t="s">
        <v>208</v>
      </c>
      <c r="E379" s="111" t="s">
        <v>208</v>
      </c>
      <c r="F379" s="111" t="s">
        <v>208</v>
      </c>
      <c r="G379" s="111"/>
      <c r="H379" s="148" t="s">
        <v>59</v>
      </c>
      <c r="I379" s="148" t="s">
        <v>59</v>
      </c>
      <c r="J379" s="148" t="s">
        <v>209</v>
      </c>
      <c r="K379" s="148" t="s">
        <v>5</v>
      </c>
      <c r="L379" s="111" t="s">
        <v>210</v>
      </c>
      <c r="M379" s="111" t="s">
        <v>211</v>
      </c>
      <c r="N379" s="111" t="s">
        <v>212</v>
      </c>
      <c r="O379" s="111" t="s">
        <v>211</v>
      </c>
      <c r="P379" s="111" t="s">
        <v>212</v>
      </c>
      <c r="Q379" s="139"/>
      <c r="R379" s="139"/>
    </row>
    <row r="380" spans="1:18" x14ac:dyDescent="0.2">
      <c r="A380" s="147"/>
      <c r="B380" s="111">
        <v>1.5</v>
      </c>
      <c r="C380" s="7">
        <v>0.3</v>
      </c>
      <c r="D380" s="7">
        <v>10.3</v>
      </c>
      <c r="E380" s="7">
        <v>1.5</v>
      </c>
      <c r="F380" s="7">
        <v>1.5</v>
      </c>
      <c r="H380" s="138">
        <f>B380*D380*E380</f>
        <v>23.175000000000001</v>
      </c>
      <c r="I380" s="138">
        <f>H380-J380</f>
        <v>18.54</v>
      </c>
      <c r="J380" s="138">
        <f>B380*C380*D380</f>
        <v>4.6349999999999998</v>
      </c>
      <c r="K380" s="138">
        <f>C380*2*D380</f>
        <v>6.1800000000000006</v>
      </c>
      <c r="L380" s="140">
        <f>D380/0.4+1</f>
        <v>26.75</v>
      </c>
      <c r="M380" s="140">
        <f>B380/0.3+1</f>
        <v>6</v>
      </c>
      <c r="N380" s="140">
        <f>B380/0.4+1</f>
        <v>4.75</v>
      </c>
      <c r="O380" s="140">
        <f>D380/0.3+1</f>
        <v>35.333333333333336</v>
      </c>
      <c r="P380" s="140">
        <f>D380/0.4+1</f>
        <v>26.75</v>
      </c>
      <c r="Q380" s="139"/>
      <c r="R380" s="139"/>
    </row>
    <row r="381" spans="1:18" x14ac:dyDescent="0.2">
      <c r="A381" s="147"/>
      <c r="B381" s="111">
        <v>0.25</v>
      </c>
      <c r="C381" s="7">
        <v>0.2</v>
      </c>
      <c r="D381" s="7">
        <v>10.3</v>
      </c>
      <c r="H381" s="138">
        <f>B381*C381*D381</f>
        <v>0.51500000000000001</v>
      </c>
      <c r="I381" s="138"/>
      <c r="J381" s="138">
        <f>B381*C381*D381</f>
        <v>0.51500000000000001</v>
      </c>
      <c r="K381" s="138"/>
      <c r="Q381" s="139"/>
      <c r="R381" s="139"/>
    </row>
    <row r="382" spans="1:18" x14ac:dyDescent="0.2">
      <c r="A382" s="147"/>
      <c r="H382" s="138">
        <f>SUM(H380:H381)</f>
        <v>23.69</v>
      </c>
      <c r="I382" s="138">
        <f>SUM(I380:I381)</f>
        <v>18.54</v>
      </c>
      <c r="J382" s="138">
        <f>SUM(J380:J381)</f>
        <v>5.1499999999999995</v>
      </c>
      <c r="K382" s="138">
        <f>SUM(K380:K381)</f>
        <v>6.1800000000000006</v>
      </c>
      <c r="Q382" s="139"/>
      <c r="R382" s="139"/>
    </row>
    <row r="383" spans="1:18" x14ac:dyDescent="0.2">
      <c r="A383" s="147"/>
      <c r="H383" s="138"/>
      <c r="I383" s="138"/>
      <c r="J383" s="138"/>
      <c r="K383" s="138"/>
      <c r="Q383" s="139" t="s">
        <v>213</v>
      </c>
      <c r="R383" s="139"/>
    </row>
    <row r="384" spans="1:18" x14ac:dyDescent="0.2">
      <c r="A384" s="147" t="s">
        <v>214</v>
      </c>
      <c r="B384" s="111" t="s">
        <v>198</v>
      </c>
      <c r="C384" s="111" t="s">
        <v>199</v>
      </c>
      <c r="D384" s="111" t="s">
        <v>200</v>
      </c>
      <c r="E384" s="111" t="s">
        <v>201</v>
      </c>
      <c r="F384" s="111" t="s">
        <v>201</v>
      </c>
      <c r="G384" s="111"/>
      <c r="H384" s="148" t="s">
        <v>104</v>
      </c>
      <c r="I384" s="148" t="s">
        <v>202</v>
      </c>
      <c r="J384" s="148" t="s">
        <v>203</v>
      </c>
      <c r="K384" s="148" t="s">
        <v>204</v>
      </c>
      <c r="L384" s="111" t="s">
        <v>205</v>
      </c>
      <c r="M384" s="148" t="s">
        <v>215</v>
      </c>
      <c r="N384" s="148" t="s">
        <v>238</v>
      </c>
      <c r="O384" s="148" t="s">
        <v>215</v>
      </c>
      <c r="P384" s="148" t="s">
        <v>238</v>
      </c>
      <c r="Q384" s="139" t="s">
        <v>217</v>
      </c>
      <c r="R384" s="139" t="s">
        <v>218</v>
      </c>
    </row>
    <row r="385" spans="1:18" x14ac:dyDescent="0.2">
      <c r="A385" s="147"/>
      <c r="B385" s="111" t="s">
        <v>208</v>
      </c>
      <c r="C385" s="111" t="s">
        <v>208</v>
      </c>
      <c r="D385" s="7">
        <v>10.3</v>
      </c>
      <c r="E385" s="111" t="s">
        <v>208</v>
      </c>
      <c r="F385" s="111" t="s">
        <v>208</v>
      </c>
      <c r="G385" s="111"/>
      <c r="H385" s="148" t="s">
        <v>59</v>
      </c>
      <c r="I385" s="148" t="s">
        <v>59</v>
      </c>
      <c r="J385" s="148" t="s">
        <v>209</v>
      </c>
      <c r="K385" s="148" t="s">
        <v>5</v>
      </c>
      <c r="L385" s="111" t="s">
        <v>219</v>
      </c>
      <c r="M385" s="148" t="s">
        <v>220</v>
      </c>
      <c r="N385" s="148" t="s">
        <v>220</v>
      </c>
      <c r="O385" s="148" t="s">
        <v>220</v>
      </c>
      <c r="P385" s="148" t="s">
        <v>220</v>
      </c>
      <c r="Q385" s="139" t="s">
        <v>5</v>
      </c>
      <c r="R385" s="139" t="s">
        <v>221</v>
      </c>
    </row>
    <row r="386" spans="1:18" x14ac:dyDescent="0.2">
      <c r="A386" s="147"/>
      <c r="B386" s="111">
        <v>0.3</v>
      </c>
      <c r="C386" s="7">
        <v>6</v>
      </c>
      <c r="D386" s="7">
        <v>10.3</v>
      </c>
      <c r="H386" s="138">
        <f>(B386+2)*C386*D386</f>
        <v>142.13999999999999</v>
      </c>
      <c r="I386" s="138">
        <f>H386-J386</f>
        <v>123.6</v>
      </c>
      <c r="J386" s="138">
        <f>B386*C386*D386</f>
        <v>18.54</v>
      </c>
      <c r="K386" s="138">
        <f>C386*2*D386</f>
        <v>123.60000000000001</v>
      </c>
      <c r="L386" s="140">
        <f>D386/0.2+1</f>
        <v>52.5</v>
      </c>
      <c r="M386" s="142">
        <f>(C386+0.7)*L386*3.28*0.668/2000</f>
        <v>0.38534916000000002</v>
      </c>
      <c r="N386" s="142">
        <f>(C386+0.7)*(D386/0.25+1)*3.28*1.5/2000</f>
        <v>0.69554039999999995</v>
      </c>
      <c r="O386" s="142">
        <f>(E386+0.7)*N386*3.28*0.668/2000</f>
        <v>5.3338489330559988E-4</v>
      </c>
      <c r="P386" s="142">
        <f>(E386+0.7)*(G386/0.25+1)*3.28*1.5/2000</f>
        <v>1.722E-3</v>
      </c>
      <c r="Q386" s="139" t="e">
        <f>#REF!</f>
        <v>#REF!</v>
      </c>
      <c r="R386" s="139">
        <v>2</v>
      </c>
    </row>
    <row r="387" spans="1:18" x14ac:dyDescent="0.2">
      <c r="A387" s="147"/>
      <c r="H387" s="138"/>
      <c r="I387" s="138"/>
      <c r="J387" s="138"/>
      <c r="K387" s="138"/>
      <c r="L387" s="140"/>
      <c r="M387" s="142"/>
      <c r="N387" s="142"/>
      <c r="O387" s="142"/>
      <c r="P387" s="142"/>
      <c r="Q387" s="139"/>
      <c r="R387" s="139"/>
    </row>
    <row r="388" spans="1:18" x14ac:dyDescent="0.2">
      <c r="A388" s="147"/>
      <c r="H388" s="138"/>
      <c r="I388" s="138"/>
      <c r="J388" s="138"/>
      <c r="K388" s="138"/>
      <c r="Q388" s="139" t="s">
        <v>213</v>
      </c>
      <c r="R388" s="139"/>
    </row>
    <row r="389" spans="1:18" x14ac:dyDescent="0.2">
      <c r="A389" s="147" t="s">
        <v>214</v>
      </c>
      <c r="B389" s="111" t="s">
        <v>198</v>
      </c>
      <c r="C389" s="111" t="s">
        <v>199</v>
      </c>
      <c r="D389" s="111" t="s">
        <v>200</v>
      </c>
      <c r="E389" s="111" t="s">
        <v>201</v>
      </c>
      <c r="F389" s="111" t="s">
        <v>201</v>
      </c>
      <c r="G389" s="111"/>
      <c r="H389" s="148" t="s">
        <v>104</v>
      </c>
      <c r="I389" s="148" t="s">
        <v>202</v>
      </c>
      <c r="J389" s="148" t="s">
        <v>203</v>
      </c>
      <c r="K389" s="148" t="s">
        <v>204</v>
      </c>
      <c r="L389" s="111" t="s">
        <v>205</v>
      </c>
      <c r="M389" s="148" t="s">
        <v>215</v>
      </c>
      <c r="N389" s="148" t="s">
        <v>216</v>
      </c>
      <c r="O389" s="148" t="s">
        <v>215</v>
      </c>
      <c r="P389" s="148" t="s">
        <v>216</v>
      </c>
      <c r="Q389" s="139" t="s">
        <v>217</v>
      </c>
      <c r="R389" s="139" t="s">
        <v>218</v>
      </c>
    </row>
    <row r="390" spans="1:18" x14ac:dyDescent="0.2">
      <c r="A390" s="147"/>
      <c r="B390" s="111" t="s">
        <v>208</v>
      </c>
      <c r="C390" s="111" t="s">
        <v>208</v>
      </c>
      <c r="D390" s="111" t="s">
        <v>208</v>
      </c>
      <c r="E390" s="111" t="s">
        <v>208</v>
      </c>
      <c r="F390" s="111" t="s">
        <v>208</v>
      </c>
      <c r="G390" s="111"/>
      <c r="H390" s="148" t="s">
        <v>59</v>
      </c>
      <c r="I390" s="148" t="s">
        <v>59</v>
      </c>
      <c r="J390" s="148" t="s">
        <v>209</v>
      </c>
      <c r="K390" s="148" t="s">
        <v>5</v>
      </c>
      <c r="L390" s="111" t="s">
        <v>219</v>
      </c>
      <c r="M390" s="148" t="s">
        <v>220</v>
      </c>
      <c r="N390" s="148" t="s">
        <v>220</v>
      </c>
      <c r="O390" s="148" t="s">
        <v>220</v>
      </c>
      <c r="P390" s="148" t="s">
        <v>220</v>
      </c>
      <c r="Q390" s="139" t="s">
        <v>5</v>
      </c>
      <c r="R390" s="139" t="s">
        <v>221</v>
      </c>
    </row>
    <row r="391" spans="1:18" x14ac:dyDescent="0.2">
      <c r="A391" s="147"/>
      <c r="B391" s="111">
        <v>0.3</v>
      </c>
      <c r="C391" s="7">
        <v>3.56</v>
      </c>
      <c r="D391" s="7">
        <v>10.3</v>
      </c>
      <c r="H391" s="138">
        <f>(B391+2)*C391*D391</f>
        <v>84.336399999999998</v>
      </c>
      <c r="I391" s="138">
        <f>H391-J391</f>
        <v>73.335999999999999</v>
      </c>
      <c r="J391" s="138">
        <f>B391*C391*D391</f>
        <v>11.000400000000001</v>
      </c>
      <c r="K391" s="138">
        <f>C391*2*D391</f>
        <v>73.336000000000013</v>
      </c>
      <c r="L391" s="140">
        <f>D391/0.2+1</f>
        <v>52.5</v>
      </c>
      <c r="M391" s="142">
        <f>(C391+0.7)*L391*3.28*0.668/2000</f>
        <v>0.24501304799999996</v>
      </c>
      <c r="N391" s="142">
        <f>(C391+0.7)*(D391/0.25+1)*3.28*1.04/2000</f>
        <v>0.30661912320000001</v>
      </c>
      <c r="O391" s="142">
        <f>(E391+0.7)*N391*3.28*0.668/2000</f>
        <v>2.3513516729364482E-4</v>
      </c>
      <c r="P391" s="142">
        <f>(E391+0.7)*(G391/0.25+1)*3.28*1.04/2000</f>
        <v>1.1939199999999998E-3</v>
      </c>
      <c r="Q391" s="139" t="e">
        <f>#REF!</f>
        <v>#REF!</v>
      </c>
      <c r="R391" s="139">
        <v>2</v>
      </c>
    </row>
    <row r="392" spans="1:18" x14ac:dyDescent="0.2">
      <c r="A392" s="147"/>
      <c r="H392" s="138"/>
      <c r="I392" s="138"/>
      <c r="J392" s="138"/>
      <c r="K392" s="138"/>
      <c r="L392" s="140"/>
      <c r="M392" s="142"/>
      <c r="N392" s="142"/>
      <c r="O392" s="142"/>
      <c r="P392" s="142"/>
      <c r="Q392" s="139"/>
      <c r="R392" s="139"/>
    </row>
    <row r="393" spans="1:18" x14ac:dyDescent="0.2">
      <c r="A393" s="147" t="s">
        <v>222</v>
      </c>
      <c r="B393" s="111" t="s">
        <v>198</v>
      </c>
      <c r="C393" s="111" t="s">
        <v>199</v>
      </c>
      <c r="D393" s="111" t="s">
        <v>200</v>
      </c>
      <c r="E393" s="111" t="s">
        <v>201</v>
      </c>
      <c r="F393" s="111" t="s">
        <v>201</v>
      </c>
      <c r="G393" s="111"/>
      <c r="H393" s="148" t="s">
        <v>223</v>
      </c>
      <c r="I393" s="148" t="s">
        <v>224</v>
      </c>
      <c r="J393" s="148" t="s">
        <v>203</v>
      </c>
      <c r="K393" s="148" t="s">
        <v>204</v>
      </c>
      <c r="L393" s="111" t="s">
        <v>205</v>
      </c>
      <c r="M393" s="148" t="s">
        <v>215</v>
      </c>
      <c r="N393" s="111" t="s">
        <v>225</v>
      </c>
      <c r="O393" s="148" t="s">
        <v>215</v>
      </c>
      <c r="P393" s="111" t="s">
        <v>225</v>
      </c>
      <c r="Q393" s="139" t="s">
        <v>226</v>
      </c>
      <c r="R393" s="139"/>
    </row>
    <row r="394" spans="1:18" x14ac:dyDescent="0.2">
      <c r="A394" s="147"/>
      <c r="B394" s="111" t="s">
        <v>208</v>
      </c>
      <c r="C394" s="111" t="s">
        <v>208</v>
      </c>
      <c r="D394" s="7">
        <v>10.3</v>
      </c>
      <c r="E394" s="111" t="s">
        <v>208</v>
      </c>
      <c r="F394" s="111" t="s">
        <v>208</v>
      </c>
      <c r="G394" s="111"/>
      <c r="H394" s="148" t="s">
        <v>59</v>
      </c>
      <c r="I394" s="148" t="s">
        <v>27</v>
      </c>
      <c r="J394" s="148" t="s">
        <v>209</v>
      </c>
      <c r="K394" s="148" t="s">
        <v>5</v>
      </c>
      <c r="L394" s="111" t="s">
        <v>227</v>
      </c>
      <c r="M394" s="148" t="s">
        <v>220</v>
      </c>
      <c r="N394" s="111" t="s">
        <v>221</v>
      </c>
      <c r="O394" s="148" t="s">
        <v>220</v>
      </c>
      <c r="P394" s="111" t="s">
        <v>221</v>
      </c>
      <c r="Q394" s="139" t="s">
        <v>5</v>
      </c>
      <c r="R394" s="139"/>
    </row>
    <row r="395" spans="1:18" x14ac:dyDescent="0.2">
      <c r="A395" s="147"/>
      <c r="B395" s="111">
        <v>0.2</v>
      </c>
      <c r="C395" s="7">
        <v>0.25</v>
      </c>
      <c r="D395" s="7">
        <v>10.3</v>
      </c>
      <c r="E395" s="7">
        <v>0</v>
      </c>
      <c r="F395" s="7">
        <v>0</v>
      </c>
      <c r="H395" s="138">
        <f>0.3*0.6*D395</f>
        <v>1.8540000000000001</v>
      </c>
      <c r="I395" s="138">
        <f>D395</f>
        <v>10.3</v>
      </c>
      <c r="J395" s="138">
        <f>B395*C395*D395</f>
        <v>0.51500000000000001</v>
      </c>
      <c r="K395" s="138">
        <f>C395*2*D395</f>
        <v>5.15</v>
      </c>
      <c r="L395" s="140">
        <v>2</v>
      </c>
      <c r="M395" s="141">
        <f>D395*L395*3.28*0.668/2000</f>
        <v>2.2567712E-2</v>
      </c>
      <c r="N395" s="142">
        <f>D395/0.4+1</f>
        <v>26.75</v>
      </c>
      <c r="O395" s="141">
        <f>G395*N395*3.28*0.668/2000</f>
        <v>0</v>
      </c>
      <c r="P395" s="142">
        <f>G395/0.4+1</f>
        <v>1</v>
      </c>
      <c r="Q395" s="139">
        <f>D395*0.55</f>
        <v>5.6650000000000009</v>
      </c>
      <c r="R395" s="139"/>
    </row>
    <row r="396" spans="1:18" x14ac:dyDescent="0.2">
      <c r="A396" s="156"/>
      <c r="D396" s="150"/>
      <c r="E396" s="150" t="s">
        <v>228</v>
      </c>
      <c r="F396" s="150" t="s">
        <v>228</v>
      </c>
      <c r="G396" s="150"/>
      <c r="H396" s="150">
        <f>H391+H386+H382</f>
        <v>250.16639999999998</v>
      </c>
      <c r="I396" s="150">
        <f>I391+I386+I382</f>
        <v>215.47599999999997</v>
      </c>
      <c r="J396" s="150">
        <f>J395+J391+J386+J382</f>
        <v>35.205399999999997</v>
      </c>
      <c r="K396" s="150">
        <f>K395+K391+K386+K382</f>
        <v>208.26600000000002</v>
      </c>
      <c r="L396" s="151" t="s">
        <v>229</v>
      </c>
      <c r="M396" s="152" t="e">
        <f>#REF!+M386+#REF!+M391+#REF!+M395+#REF!</f>
        <v>#REF!</v>
      </c>
      <c r="N396" s="153" t="s">
        <v>230</v>
      </c>
      <c r="O396" s="152" t="e">
        <f>#REF!+O386+#REF!+O391+#REF!+O395+#REF!</f>
        <v>#REF!</v>
      </c>
      <c r="P396" s="153" t="s">
        <v>230</v>
      </c>
      <c r="Q396" s="139"/>
      <c r="R396" s="139"/>
    </row>
    <row r="397" spans="1:18" x14ac:dyDescent="0.2">
      <c r="A397" s="156"/>
      <c r="D397" s="150"/>
      <c r="E397" s="150"/>
      <c r="F397" s="150"/>
      <c r="G397" s="150"/>
      <c r="H397" s="150"/>
      <c r="I397" s="150"/>
      <c r="J397" s="150"/>
      <c r="K397" s="150"/>
      <c r="L397" s="151"/>
      <c r="M397" s="152"/>
      <c r="N397" s="153"/>
      <c r="O397" s="152"/>
      <c r="P397" s="153"/>
      <c r="Q397" s="139"/>
      <c r="R397" s="139"/>
    </row>
    <row r="398" spans="1:18" x14ac:dyDescent="0.2">
      <c r="A398" s="147"/>
      <c r="D398" s="150"/>
      <c r="E398" s="150"/>
      <c r="F398" s="150"/>
      <c r="G398" s="150"/>
      <c r="H398" s="150">
        <f>H396+H374+H351</f>
        <v>558.1869999999999</v>
      </c>
      <c r="I398" s="150">
        <f>I396+I374+I351</f>
        <v>480.47999999999996</v>
      </c>
      <c r="J398" s="150">
        <f>J396+J374+J351</f>
        <v>78.931999999999988</v>
      </c>
      <c r="K398" s="150">
        <f>K396+K374+K351</f>
        <v>463.33000000000004</v>
      </c>
      <c r="L398" s="151"/>
      <c r="M398" s="152" t="e">
        <f>M396+M374+M351</f>
        <v>#REF!</v>
      </c>
      <c r="N398" s="153"/>
      <c r="O398" s="152" t="e">
        <f>O396+O374+O351</f>
        <v>#REF!</v>
      </c>
      <c r="P398" s="153"/>
      <c r="Q398" s="139"/>
      <c r="R398" s="139"/>
    </row>
    <row r="399" spans="1:18" x14ac:dyDescent="0.2">
      <c r="A399" s="147"/>
      <c r="D399" s="150"/>
      <c r="E399" s="150"/>
      <c r="F399" s="150"/>
      <c r="G399" s="150"/>
      <c r="H399" s="150"/>
      <c r="I399" s="150"/>
      <c r="J399" s="150"/>
      <c r="K399" s="150"/>
      <c r="L399" s="151"/>
      <c r="M399" s="152"/>
      <c r="N399" s="153"/>
      <c r="O399" s="152"/>
      <c r="P399" s="153"/>
      <c r="Q399" s="139"/>
      <c r="R399" s="139"/>
    </row>
    <row r="400" spans="1:18" x14ac:dyDescent="0.2">
      <c r="A400" s="147"/>
      <c r="D400" s="150"/>
      <c r="E400" s="150"/>
      <c r="F400" s="150"/>
      <c r="G400" s="150"/>
      <c r="H400" s="150"/>
      <c r="I400" s="150"/>
      <c r="J400" s="150"/>
      <c r="K400" s="150"/>
      <c r="L400" s="151"/>
      <c r="M400" s="152"/>
      <c r="N400" s="153"/>
      <c r="O400" s="152"/>
      <c r="P400" s="153"/>
      <c r="Q400" s="139"/>
      <c r="R400" s="139"/>
    </row>
    <row r="401" spans="1:18" x14ac:dyDescent="0.2">
      <c r="A401" s="147"/>
      <c r="D401" s="150"/>
      <c r="E401" s="150"/>
      <c r="F401" s="150"/>
      <c r="G401" s="150"/>
      <c r="H401" s="150"/>
      <c r="I401" s="150"/>
      <c r="J401" s="150"/>
      <c r="K401" s="150"/>
      <c r="L401" s="151"/>
      <c r="M401" s="152"/>
      <c r="N401" s="153"/>
      <c r="O401" s="152"/>
      <c r="P401" s="153"/>
      <c r="Q401" s="139"/>
      <c r="R401" s="139"/>
    </row>
    <row r="402" spans="1:18" x14ac:dyDescent="0.2">
      <c r="A402" s="147"/>
      <c r="D402" s="150"/>
      <c r="E402" s="150"/>
      <c r="F402" s="150"/>
      <c r="G402" s="150"/>
      <c r="H402" s="150"/>
      <c r="I402" s="150"/>
      <c r="J402" s="150"/>
      <c r="K402" s="150"/>
      <c r="L402" s="151"/>
      <c r="M402" s="152"/>
      <c r="N402" s="153"/>
      <c r="O402" s="152"/>
      <c r="P402" s="153"/>
      <c r="Q402" s="139"/>
      <c r="R402" s="139"/>
    </row>
    <row r="403" spans="1:18" x14ac:dyDescent="0.2">
      <c r="A403" s="137"/>
    </row>
    <row r="404" spans="1:18" x14ac:dyDescent="0.2">
      <c r="A404" s="147" t="s">
        <v>240</v>
      </c>
      <c r="H404" s="138"/>
      <c r="I404" s="138"/>
      <c r="J404" s="138"/>
      <c r="K404" s="138"/>
      <c r="L404" s="155"/>
      <c r="M404" s="139"/>
      <c r="O404" s="139"/>
      <c r="Q404" s="139"/>
      <c r="R404" s="141"/>
    </row>
    <row r="405" spans="1:18" x14ac:dyDescent="0.2">
      <c r="A405" s="147" t="s">
        <v>232</v>
      </c>
      <c r="H405" s="138"/>
      <c r="I405" s="138"/>
      <c r="J405" s="138"/>
      <c r="K405" s="138"/>
      <c r="Q405" s="139"/>
      <c r="R405" s="139"/>
    </row>
    <row r="406" spans="1:18" x14ac:dyDescent="0.2">
      <c r="A406" s="147"/>
      <c r="B406" s="111" t="s">
        <v>198</v>
      </c>
      <c r="C406" s="111" t="s">
        <v>199</v>
      </c>
      <c r="D406" s="111" t="s">
        <v>200</v>
      </c>
      <c r="E406" s="111" t="s">
        <v>201</v>
      </c>
      <c r="F406" s="111" t="s">
        <v>201</v>
      </c>
      <c r="G406" s="111"/>
      <c r="H406" s="148" t="s">
        <v>104</v>
      </c>
      <c r="I406" s="148" t="s">
        <v>202</v>
      </c>
      <c r="J406" s="148" t="s">
        <v>203</v>
      </c>
      <c r="K406" s="148" t="s">
        <v>204</v>
      </c>
      <c r="L406" s="111" t="s">
        <v>205</v>
      </c>
      <c r="M406" s="111" t="s">
        <v>205</v>
      </c>
      <c r="N406" s="111" t="s">
        <v>205</v>
      </c>
      <c r="O406" s="111" t="s">
        <v>205</v>
      </c>
      <c r="P406" s="111" t="s">
        <v>205</v>
      </c>
      <c r="Q406" s="139" t="s">
        <v>206</v>
      </c>
      <c r="R406" s="139"/>
    </row>
    <row r="407" spans="1:18" x14ac:dyDescent="0.2">
      <c r="A407" s="147" t="s">
        <v>207</v>
      </c>
      <c r="B407" s="111" t="s">
        <v>208</v>
      </c>
      <c r="C407" s="111" t="s">
        <v>208</v>
      </c>
      <c r="D407" s="111" t="s">
        <v>208</v>
      </c>
      <c r="E407" s="111" t="s">
        <v>208</v>
      </c>
      <c r="F407" s="111" t="s">
        <v>208</v>
      </c>
      <c r="G407" s="111"/>
      <c r="H407" s="148" t="s">
        <v>59</v>
      </c>
      <c r="I407" s="148" t="s">
        <v>59</v>
      </c>
      <c r="J407" s="148" t="s">
        <v>209</v>
      </c>
      <c r="K407" s="148" t="s">
        <v>5</v>
      </c>
      <c r="L407" s="111" t="s">
        <v>210</v>
      </c>
      <c r="M407" s="111" t="s">
        <v>211</v>
      </c>
      <c r="N407" s="111" t="s">
        <v>212</v>
      </c>
      <c r="O407" s="111" t="s">
        <v>211</v>
      </c>
      <c r="P407" s="111" t="s">
        <v>212</v>
      </c>
      <c r="Q407" s="139"/>
      <c r="R407" s="139"/>
    </row>
    <row r="408" spans="1:18" x14ac:dyDescent="0.2">
      <c r="A408" s="147"/>
      <c r="B408" s="111">
        <v>1.2</v>
      </c>
      <c r="C408" s="7">
        <v>0.3</v>
      </c>
      <c r="D408" s="7">
        <v>18.54</v>
      </c>
      <c r="E408" s="7">
        <v>1.5</v>
      </c>
      <c r="F408" s="7">
        <v>1.5</v>
      </c>
      <c r="H408" s="138">
        <f>B408*D408*E408</f>
        <v>33.372</v>
      </c>
      <c r="I408" s="138">
        <f>H408-J408</f>
        <v>26.697600000000001</v>
      </c>
      <c r="J408" s="138">
        <f>B408*C408*D408</f>
        <v>6.6743999999999994</v>
      </c>
      <c r="K408" s="138">
        <f>C408*2*D408</f>
        <v>11.123999999999999</v>
      </c>
      <c r="L408" s="140">
        <f>D408/0.4+1</f>
        <v>47.349999999999994</v>
      </c>
      <c r="M408" s="140">
        <f>B408/0.3+1</f>
        <v>5</v>
      </c>
      <c r="N408" s="140">
        <f>B408/0.4+1</f>
        <v>3.9999999999999996</v>
      </c>
      <c r="O408" s="140">
        <f>D408/0.3+1</f>
        <v>62.8</v>
      </c>
      <c r="P408" s="140">
        <f>D408/0.4+1</f>
        <v>47.349999999999994</v>
      </c>
      <c r="Q408" s="139"/>
      <c r="R408" s="139"/>
    </row>
    <row r="409" spans="1:18" x14ac:dyDescent="0.2">
      <c r="A409" s="147"/>
      <c r="B409" s="111">
        <v>0.25</v>
      </c>
      <c r="C409" s="7">
        <v>0.2</v>
      </c>
      <c r="D409" s="7">
        <v>18.54</v>
      </c>
      <c r="H409" s="138">
        <f>B409*C409*D409</f>
        <v>0.92700000000000005</v>
      </c>
      <c r="I409" s="138"/>
      <c r="J409" s="138">
        <f>B409*C409*D409</f>
        <v>0.92700000000000005</v>
      </c>
      <c r="K409" s="138"/>
      <c r="Q409" s="139"/>
      <c r="R409" s="139"/>
    </row>
    <row r="410" spans="1:18" x14ac:dyDescent="0.2">
      <c r="A410" s="147"/>
      <c r="H410" s="138">
        <f>SUM(H408:H409)</f>
        <v>34.298999999999999</v>
      </c>
      <c r="I410" s="138">
        <f>SUM(I408:I409)</f>
        <v>26.697600000000001</v>
      </c>
      <c r="J410" s="138">
        <f>SUM(J408:J409)</f>
        <v>7.6013999999999999</v>
      </c>
      <c r="K410" s="138">
        <f>SUM(K408:K409)</f>
        <v>11.123999999999999</v>
      </c>
      <c r="Q410" s="139"/>
      <c r="R410" s="139"/>
    </row>
    <row r="411" spans="1:18" x14ac:dyDescent="0.2">
      <c r="A411" s="147"/>
      <c r="H411" s="138"/>
      <c r="I411" s="138"/>
      <c r="J411" s="138"/>
      <c r="K411" s="138"/>
      <c r="Q411" s="139" t="s">
        <v>213</v>
      </c>
      <c r="R411" s="139"/>
    </row>
    <row r="412" spans="1:18" x14ac:dyDescent="0.2">
      <c r="A412" s="147" t="s">
        <v>214</v>
      </c>
      <c r="B412" s="111" t="s">
        <v>198</v>
      </c>
      <c r="C412" s="111" t="s">
        <v>199</v>
      </c>
      <c r="D412" s="111" t="s">
        <v>200</v>
      </c>
      <c r="E412" s="111" t="s">
        <v>201</v>
      </c>
      <c r="F412" s="111" t="s">
        <v>201</v>
      </c>
      <c r="G412" s="111"/>
      <c r="H412" s="148" t="s">
        <v>104</v>
      </c>
      <c r="I412" s="148" t="s">
        <v>202</v>
      </c>
      <c r="J412" s="148" t="s">
        <v>203</v>
      </c>
      <c r="K412" s="148" t="s">
        <v>204</v>
      </c>
      <c r="L412" s="111" t="s">
        <v>205</v>
      </c>
      <c r="M412" s="148" t="s">
        <v>215</v>
      </c>
      <c r="N412" s="148" t="s">
        <v>216</v>
      </c>
      <c r="O412" s="148" t="s">
        <v>215</v>
      </c>
      <c r="P412" s="148" t="s">
        <v>216</v>
      </c>
      <c r="Q412" s="139" t="s">
        <v>217</v>
      </c>
      <c r="R412" s="139" t="s">
        <v>218</v>
      </c>
    </row>
    <row r="413" spans="1:18" x14ac:dyDescent="0.2">
      <c r="A413" s="147"/>
      <c r="B413" s="111" t="s">
        <v>208</v>
      </c>
      <c r="C413" s="111" t="s">
        <v>208</v>
      </c>
      <c r="D413" s="111" t="s">
        <v>208</v>
      </c>
      <c r="E413" s="111" t="s">
        <v>208</v>
      </c>
      <c r="F413" s="111" t="s">
        <v>208</v>
      </c>
      <c r="G413" s="111"/>
      <c r="H413" s="148" t="s">
        <v>59</v>
      </c>
      <c r="I413" s="148" t="s">
        <v>59</v>
      </c>
      <c r="J413" s="148" t="s">
        <v>209</v>
      </c>
      <c r="K413" s="148" t="s">
        <v>5</v>
      </c>
      <c r="L413" s="111" t="s">
        <v>219</v>
      </c>
      <c r="M413" s="148" t="s">
        <v>220</v>
      </c>
      <c r="N413" s="148" t="s">
        <v>220</v>
      </c>
      <c r="O413" s="148" t="s">
        <v>220</v>
      </c>
      <c r="P413" s="148" t="s">
        <v>220</v>
      </c>
      <c r="Q413" s="139" t="s">
        <v>5</v>
      </c>
      <c r="R413" s="139" t="s">
        <v>221</v>
      </c>
    </row>
    <row r="414" spans="1:18" x14ac:dyDescent="0.2">
      <c r="A414" s="147"/>
      <c r="B414" s="111">
        <v>0.3</v>
      </c>
      <c r="C414" s="7">
        <v>2.2999999999999998</v>
      </c>
      <c r="D414" s="7">
        <v>18.54</v>
      </c>
      <c r="H414" s="138">
        <f>(B414+2)*C414*D414</f>
        <v>98.076599999999985</v>
      </c>
      <c r="I414" s="138">
        <f>H414-J414</f>
        <v>85.283999999999992</v>
      </c>
      <c r="J414" s="138">
        <f>B414*C414*D414</f>
        <v>12.792599999999998</v>
      </c>
      <c r="K414" s="138">
        <f>C414*2*D414</f>
        <v>85.283999999999992</v>
      </c>
      <c r="L414" s="140">
        <f>D414/0.2+1</f>
        <v>93.699999999999989</v>
      </c>
      <c r="M414" s="142">
        <f>(C414+0.7)*L414*3.28*2*0.668/2000</f>
        <v>0.61590134399999985</v>
      </c>
      <c r="N414" s="142"/>
      <c r="O414" s="142">
        <f>(E414+0.7)*N414*3.28*2*0.668/2000</f>
        <v>0</v>
      </c>
      <c r="P414" s="142"/>
      <c r="Q414" s="139" t="e">
        <f>#REF!</f>
        <v>#REF!</v>
      </c>
      <c r="R414" s="139">
        <v>2</v>
      </c>
    </row>
    <row r="415" spans="1:18" x14ac:dyDescent="0.2">
      <c r="A415" s="147"/>
      <c r="H415" s="138"/>
      <c r="I415" s="138"/>
      <c r="J415" s="138"/>
      <c r="K415" s="138"/>
      <c r="Q415" s="139"/>
      <c r="R415" s="139"/>
    </row>
    <row r="416" spans="1:18" x14ac:dyDescent="0.2">
      <c r="A416" s="147" t="s">
        <v>222</v>
      </c>
      <c r="B416" s="111" t="s">
        <v>198</v>
      </c>
      <c r="C416" s="111" t="s">
        <v>199</v>
      </c>
      <c r="D416" s="111" t="s">
        <v>200</v>
      </c>
      <c r="E416" s="111" t="s">
        <v>201</v>
      </c>
      <c r="F416" s="111" t="s">
        <v>201</v>
      </c>
      <c r="G416" s="111"/>
      <c r="H416" s="148" t="s">
        <v>223</v>
      </c>
      <c r="I416" s="148" t="s">
        <v>224</v>
      </c>
      <c r="J416" s="148" t="s">
        <v>203</v>
      </c>
      <c r="K416" s="148" t="s">
        <v>204</v>
      </c>
      <c r="L416" s="111" t="s">
        <v>205</v>
      </c>
      <c r="M416" s="148" t="s">
        <v>215</v>
      </c>
      <c r="N416" s="111" t="s">
        <v>225</v>
      </c>
      <c r="O416" s="148" t="s">
        <v>215</v>
      </c>
      <c r="P416" s="111" t="s">
        <v>225</v>
      </c>
      <c r="Q416" s="139" t="s">
        <v>226</v>
      </c>
      <c r="R416" s="139"/>
    </row>
    <row r="417" spans="1:18" x14ac:dyDescent="0.2">
      <c r="A417" s="147"/>
      <c r="B417" s="111" t="s">
        <v>208</v>
      </c>
      <c r="C417" s="111" t="s">
        <v>208</v>
      </c>
      <c r="D417" s="7">
        <v>18.54</v>
      </c>
      <c r="E417" s="111" t="s">
        <v>208</v>
      </c>
      <c r="F417" s="111" t="s">
        <v>208</v>
      </c>
      <c r="G417" s="111"/>
      <c r="H417" s="148" t="s">
        <v>59</v>
      </c>
      <c r="I417" s="148" t="s">
        <v>27</v>
      </c>
      <c r="J417" s="148" t="s">
        <v>209</v>
      </c>
      <c r="K417" s="148" t="s">
        <v>5</v>
      </c>
      <c r="L417" s="111" t="s">
        <v>227</v>
      </c>
      <c r="M417" s="148" t="s">
        <v>220</v>
      </c>
      <c r="N417" s="111" t="s">
        <v>221</v>
      </c>
      <c r="O417" s="148" t="s">
        <v>220</v>
      </c>
      <c r="P417" s="111" t="s">
        <v>221</v>
      </c>
      <c r="Q417" s="139" t="s">
        <v>5</v>
      </c>
      <c r="R417" s="139"/>
    </row>
    <row r="418" spans="1:18" x14ac:dyDescent="0.2">
      <c r="A418" s="147"/>
      <c r="B418" s="111">
        <v>0</v>
      </c>
      <c r="C418" s="7">
        <v>0</v>
      </c>
      <c r="D418" s="7">
        <v>18.54</v>
      </c>
      <c r="E418" s="7">
        <v>0</v>
      </c>
      <c r="F418" s="7">
        <v>0</v>
      </c>
      <c r="H418" s="138">
        <f>0.3*0.6*D418</f>
        <v>3.3371999999999997</v>
      </c>
      <c r="I418" s="138">
        <f>D418</f>
        <v>18.54</v>
      </c>
      <c r="J418" s="138">
        <f>B418*C418*D418</f>
        <v>0</v>
      </c>
      <c r="K418" s="138">
        <f>C418*2*D418</f>
        <v>0</v>
      </c>
      <c r="L418" s="140">
        <v>2</v>
      </c>
      <c r="M418" s="141">
        <f>D418*L418*3.28*0.668/2000</f>
        <v>4.0621881599999993E-2</v>
      </c>
      <c r="N418" s="142">
        <f>D418/0.4+1</f>
        <v>47.349999999999994</v>
      </c>
      <c r="O418" s="141">
        <f>G418*N418*3.28*0.668/2000</f>
        <v>0</v>
      </c>
      <c r="P418" s="142">
        <f>G418/0.4+1</f>
        <v>1</v>
      </c>
      <c r="Q418" s="139">
        <f>D418*0.55</f>
        <v>10.197000000000001</v>
      </c>
      <c r="R418" s="139"/>
    </row>
    <row r="419" spans="1:18" x14ac:dyDescent="0.2">
      <c r="A419" s="147"/>
      <c r="D419" s="150"/>
      <c r="E419" s="150" t="s">
        <v>228</v>
      </c>
      <c r="F419" s="150" t="s">
        <v>228</v>
      </c>
      <c r="G419" s="150"/>
      <c r="H419" s="150">
        <f>H414+H410</f>
        <v>132.37559999999999</v>
      </c>
      <c r="I419" s="150">
        <f>I414+I410</f>
        <v>111.98159999999999</v>
      </c>
      <c r="J419" s="150">
        <f>J418+J414+J410</f>
        <v>20.393999999999998</v>
      </c>
      <c r="K419" s="150">
        <f>K418+K414+K410</f>
        <v>96.407999999999987</v>
      </c>
      <c r="L419" s="151" t="s">
        <v>229</v>
      </c>
      <c r="M419" s="152" t="e">
        <f>#REF!+M414+#REF!+M418+#REF!</f>
        <v>#REF!</v>
      </c>
      <c r="N419" s="153" t="s">
        <v>230</v>
      </c>
      <c r="O419" s="152" t="e">
        <f>#REF!+O414+#REF!+O418+#REF!</f>
        <v>#REF!</v>
      </c>
      <c r="P419" s="153" t="s">
        <v>230</v>
      </c>
      <c r="Q419" s="139"/>
      <c r="R419" s="139"/>
    </row>
    <row r="420" spans="1:18" x14ac:dyDescent="0.2">
      <c r="A420" s="137"/>
    </row>
    <row r="421" spans="1:18" x14ac:dyDescent="0.2">
      <c r="A421" s="147" t="s">
        <v>241</v>
      </c>
      <c r="H421" s="138"/>
      <c r="I421" s="138"/>
      <c r="J421" s="138"/>
      <c r="K421" s="138"/>
      <c r="L421" s="155"/>
      <c r="M421" s="139"/>
      <c r="O421" s="139"/>
      <c r="Q421" s="139"/>
      <c r="R421" s="141"/>
    </row>
    <row r="422" spans="1:18" x14ac:dyDescent="0.2">
      <c r="A422" s="147" t="s">
        <v>232</v>
      </c>
      <c r="H422" s="138"/>
      <c r="I422" s="138"/>
      <c r="J422" s="138"/>
      <c r="K422" s="138"/>
      <c r="Q422" s="139"/>
      <c r="R422" s="139"/>
    </row>
    <row r="423" spans="1:18" x14ac:dyDescent="0.2">
      <c r="A423" s="147"/>
      <c r="B423" s="111" t="s">
        <v>198</v>
      </c>
      <c r="C423" s="111" t="s">
        <v>199</v>
      </c>
      <c r="D423" s="111" t="s">
        <v>200</v>
      </c>
      <c r="E423" s="111" t="s">
        <v>201</v>
      </c>
      <c r="F423" s="111" t="s">
        <v>201</v>
      </c>
      <c r="G423" s="111"/>
      <c r="H423" s="148" t="s">
        <v>104</v>
      </c>
      <c r="I423" s="148" t="s">
        <v>202</v>
      </c>
      <c r="J423" s="148" t="s">
        <v>203</v>
      </c>
      <c r="K423" s="148" t="s">
        <v>204</v>
      </c>
      <c r="L423" s="111" t="s">
        <v>205</v>
      </c>
      <c r="M423" s="111" t="s">
        <v>205</v>
      </c>
      <c r="N423" s="111" t="s">
        <v>205</v>
      </c>
      <c r="O423" s="111" t="s">
        <v>205</v>
      </c>
      <c r="P423" s="111" t="s">
        <v>205</v>
      </c>
      <c r="Q423" s="139" t="s">
        <v>206</v>
      </c>
      <c r="R423" s="139"/>
    </row>
    <row r="424" spans="1:18" x14ac:dyDescent="0.2">
      <c r="A424" s="147" t="s">
        <v>207</v>
      </c>
      <c r="B424" s="111" t="s">
        <v>208</v>
      </c>
      <c r="C424" s="111" t="s">
        <v>208</v>
      </c>
      <c r="D424" s="111" t="s">
        <v>208</v>
      </c>
      <c r="E424" s="111" t="s">
        <v>208</v>
      </c>
      <c r="F424" s="111" t="s">
        <v>208</v>
      </c>
      <c r="G424" s="111"/>
      <c r="H424" s="148" t="s">
        <v>59</v>
      </c>
      <c r="I424" s="148" t="s">
        <v>59</v>
      </c>
      <c r="J424" s="148" t="s">
        <v>209</v>
      </c>
      <c r="K424" s="148" t="s">
        <v>5</v>
      </c>
      <c r="L424" s="111" t="s">
        <v>210</v>
      </c>
      <c r="M424" s="111" t="s">
        <v>211</v>
      </c>
      <c r="N424" s="111" t="s">
        <v>212</v>
      </c>
      <c r="O424" s="111" t="s">
        <v>211</v>
      </c>
      <c r="P424" s="111" t="s">
        <v>212</v>
      </c>
      <c r="Q424" s="139"/>
      <c r="R424" s="139"/>
    </row>
    <row r="425" spans="1:18" x14ac:dyDescent="0.2">
      <c r="A425" s="147"/>
      <c r="B425" s="111">
        <v>1.2</v>
      </c>
      <c r="C425" s="7">
        <v>0.3</v>
      </c>
      <c r="D425" s="7">
        <v>28.62</v>
      </c>
      <c r="E425" s="7">
        <v>1.5</v>
      </c>
      <c r="F425" s="7">
        <v>1.5</v>
      </c>
      <c r="H425" s="138">
        <f>B425*D425*E425</f>
        <v>51.516000000000005</v>
      </c>
      <c r="I425" s="138">
        <f>H425-J425</f>
        <v>41.212800000000001</v>
      </c>
      <c r="J425" s="138">
        <f>B425*C425*D425</f>
        <v>10.3032</v>
      </c>
      <c r="K425" s="138">
        <f>C425*2*D425</f>
        <v>17.172000000000001</v>
      </c>
      <c r="L425" s="140">
        <f>D425/0.4+1</f>
        <v>72.55</v>
      </c>
      <c r="M425" s="140">
        <f>B425/0.3+1</f>
        <v>5</v>
      </c>
      <c r="N425" s="140">
        <f>B425/0.4+1</f>
        <v>3.9999999999999996</v>
      </c>
      <c r="O425" s="140">
        <f>D425/0.3+1</f>
        <v>96.4</v>
      </c>
      <c r="P425" s="140">
        <f>D425/0.4+1</f>
        <v>72.55</v>
      </c>
      <c r="Q425" s="139"/>
      <c r="R425" s="139"/>
    </row>
    <row r="426" spans="1:18" x14ac:dyDescent="0.2">
      <c r="A426" s="147"/>
      <c r="B426" s="111">
        <v>0.25</v>
      </c>
      <c r="C426" s="7">
        <v>0.2</v>
      </c>
      <c r="D426" s="7">
        <v>28.62</v>
      </c>
      <c r="H426" s="138">
        <f>B426*C426*D426</f>
        <v>1.431</v>
      </c>
      <c r="I426" s="138"/>
      <c r="J426" s="138">
        <f>B426*C426*D426</f>
        <v>1.431</v>
      </c>
      <c r="K426" s="138"/>
      <c r="Q426" s="139"/>
      <c r="R426" s="139"/>
    </row>
    <row r="427" spans="1:18" x14ac:dyDescent="0.2">
      <c r="A427" s="147"/>
      <c r="H427" s="138">
        <f>SUM(H425:H426)</f>
        <v>52.947000000000003</v>
      </c>
      <c r="I427" s="138">
        <f>SUM(I425:I426)</f>
        <v>41.212800000000001</v>
      </c>
      <c r="J427" s="138">
        <f>SUM(J425:J426)</f>
        <v>11.734200000000001</v>
      </c>
      <c r="K427" s="138">
        <f>SUM(K425:K426)</f>
        <v>17.172000000000001</v>
      </c>
      <c r="Q427" s="139"/>
      <c r="R427" s="139"/>
    </row>
    <row r="428" spans="1:18" x14ac:dyDescent="0.2">
      <c r="A428" s="147"/>
      <c r="H428" s="138"/>
      <c r="I428" s="138"/>
      <c r="J428" s="138"/>
      <c r="K428" s="138"/>
      <c r="Q428" s="139" t="s">
        <v>213</v>
      </c>
      <c r="R428" s="139"/>
    </row>
    <row r="429" spans="1:18" x14ac:dyDescent="0.2">
      <c r="A429" s="147" t="s">
        <v>214</v>
      </c>
      <c r="B429" s="111" t="s">
        <v>198</v>
      </c>
      <c r="C429" s="111" t="s">
        <v>199</v>
      </c>
      <c r="D429" s="111" t="s">
        <v>200</v>
      </c>
      <c r="E429" s="111" t="s">
        <v>201</v>
      </c>
      <c r="F429" s="111" t="s">
        <v>201</v>
      </c>
      <c r="G429" s="111"/>
      <c r="H429" s="148" t="s">
        <v>104</v>
      </c>
      <c r="I429" s="148" t="s">
        <v>202</v>
      </c>
      <c r="J429" s="148" t="s">
        <v>203</v>
      </c>
      <c r="K429" s="148" t="s">
        <v>204</v>
      </c>
      <c r="L429" s="111" t="s">
        <v>205</v>
      </c>
      <c r="M429" s="148" t="s">
        <v>215</v>
      </c>
      <c r="N429" s="148" t="s">
        <v>216</v>
      </c>
      <c r="O429" s="148" t="s">
        <v>215</v>
      </c>
      <c r="P429" s="148" t="s">
        <v>216</v>
      </c>
      <c r="Q429" s="139" t="s">
        <v>217</v>
      </c>
      <c r="R429" s="139" t="s">
        <v>218</v>
      </c>
    </row>
    <row r="430" spans="1:18" x14ac:dyDescent="0.2">
      <c r="A430" s="147"/>
      <c r="B430" s="111" t="s">
        <v>208</v>
      </c>
      <c r="C430" s="111" t="s">
        <v>208</v>
      </c>
      <c r="D430" s="111" t="s">
        <v>208</v>
      </c>
      <c r="E430" s="111" t="s">
        <v>208</v>
      </c>
      <c r="F430" s="111" t="s">
        <v>208</v>
      </c>
      <c r="G430" s="111"/>
      <c r="H430" s="148" t="s">
        <v>59</v>
      </c>
      <c r="I430" s="148" t="s">
        <v>59</v>
      </c>
      <c r="J430" s="148" t="s">
        <v>209</v>
      </c>
      <c r="K430" s="148" t="s">
        <v>5</v>
      </c>
      <c r="L430" s="111" t="s">
        <v>219</v>
      </c>
      <c r="M430" s="148" t="s">
        <v>220</v>
      </c>
      <c r="N430" s="148" t="s">
        <v>220</v>
      </c>
      <c r="O430" s="148" t="s">
        <v>220</v>
      </c>
      <c r="P430" s="148" t="s">
        <v>220</v>
      </c>
      <c r="Q430" s="139" t="s">
        <v>5</v>
      </c>
      <c r="R430" s="139" t="s">
        <v>221</v>
      </c>
    </row>
    <row r="431" spans="1:18" x14ac:dyDescent="0.2">
      <c r="A431" s="147"/>
      <c r="B431" s="111">
        <v>0.3</v>
      </c>
      <c r="C431" s="7">
        <v>2.7</v>
      </c>
      <c r="D431" s="7">
        <v>28.62</v>
      </c>
      <c r="H431" s="138">
        <f>(B431+2)*C431*D431</f>
        <v>177.7302</v>
      </c>
      <c r="I431" s="138">
        <f>H431-J431</f>
        <v>154.548</v>
      </c>
      <c r="J431" s="138">
        <f>B431*C431*D431</f>
        <v>23.182200000000002</v>
      </c>
      <c r="K431" s="138">
        <f>C431*2*D431</f>
        <v>154.548</v>
      </c>
      <c r="L431" s="140">
        <f>D431/0.2+1</f>
        <v>144.1</v>
      </c>
      <c r="M431" s="142">
        <f>(C431+0.7)*L431*3.28*2*0.668/2000</f>
        <v>1.0734781376</v>
      </c>
      <c r="N431" s="142"/>
      <c r="O431" s="142">
        <f>(E431+0.7)*N431*3.28*2*0.668/2000</f>
        <v>0</v>
      </c>
      <c r="P431" s="142"/>
      <c r="Q431" s="139" t="e">
        <f>#REF!</f>
        <v>#REF!</v>
      </c>
      <c r="R431" s="139">
        <v>2</v>
      </c>
    </row>
    <row r="432" spans="1:18" x14ac:dyDescent="0.2">
      <c r="A432" s="147"/>
      <c r="H432" s="138"/>
      <c r="I432" s="138"/>
      <c r="J432" s="138"/>
      <c r="K432" s="138"/>
      <c r="Q432" s="139"/>
      <c r="R432" s="139"/>
    </row>
    <row r="433" spans="1:18" x14ac:dyDescent="0.2">
      <c r="A433" s="147" t="s">
        <v>222</v>
      </c>
      <c r="B433" s="111" t="s">
        <v>198</v>
      </c>
      <c r="C433" s="111" t="s">
        <v>199</v>
      </c>
      <c r="D433" s="111" t="s">
        <v>200</v>
      </c>
      <c r="E433" s="111" t="s">
        <v>201</v>
      </c>
      <c r="F433" s="111" t="s">
        <v>201</v>
      </c>
      <c r="G433" s="111"/>
      <c r="H433" s="148" t="s">
        <v>223</v>
      </c>
      <c r="I433" s="148" t="s">
        <v>224</v>
      </c>
      <c r="J433" s="148" t="s">
        <v>203</v>
      </c>
      <c r="K433" s="148" t="s">
        <v>204</v>
      </c>
      <c r="L433" s="111" t="s">
        <v>205</v>
      </c>
      <c r="M433" s="148" t="s">
        <v>215</v>
      </c>
      <c r="N433" s="111" t="s">
        <v>225</v>
      </c>
      <c r="O433" s="148" t="s">
        <v>215</v>
      </c>
      <c r="P433" s="111" t="s">
        <v>225</v>
      </c>
      <c r="Q433" s="139" t="s">
        <v>226</v>
      </c>
      <c r="R433" s="139"/>
    </row>
    <row r="434" spans="1:18" x14ac:dyDescent="0.2">
      <c r="A434" s="147"/>
      <c r="B434" s="111" t="s">
        <v>208</v>
      </c>
      <c r="C434" s="111" t="s">
        <v>208</v>
      </c>
      <c r="D434" s="7">
        <v>28.62</v>
      </c>
      <c r="E434" s="111" t="s">
        <v>208</v>
      </c>
      <c r="F434" s="111" t="s">
        <v>208</v>
      </c>
      <c r="G434" s="111"/>
      <c r="H434" s="148" t="s">
        <v>59</v>
      </c>
      <c r="I434" s="148" t="s">
        <v>27</v>
      </c>
      <c r="J434" s="148" t="s">
        <v>209</v>
      </c>
      <c r="K434" s="148" t="s">
        <v>5</v>
      </c>
      <c r="L434" s="111" t="s">
        <v>227</v>
      </c>
      <c r="M434" s="148" t="s">
        <v>220</v>
      </c>
      <c r="N434" s="111" t="s">
        <v>221</v>
      </c>
      <c r="O434" s="148" t="s">
        <v>220</v>
      </c>
      <c r="P434" s="111" t="s">
        <v>221</v>
      </c>
      <c r="Q434" s="139" t="s">
        <v>5</v>
      </c>
      <c r="R434" s="139"/>
    </row>
    <row r="435" spans="1:18" x14ac:dyDescent="0.2">
      <c r="A435" s="147"/>
      <c r="B435" s="111">
        <v>0</v>
      </c>
      <c r="C435" s="7">
        <v>0</v>
      </c>
      <c r="D435" s="7">
        <v>28.62</v>
      </c>
      <c r="E435" s="7">
        <v>0</v>
      </c>
      <c r="F435" s="7">
        <v>0</v>
      </c>
      <c r="H435" s="138">
        <f>0.3*0.6*D435</f>
        <v>5.1516000000000002</v>
      </c>
      <c r="I435" s="138">
        <f>D435</f>
        <v>28.62</v>
      </c>
      <c r="J435" s="138">
        <f>B435*C435*D435</f>
        <v>0</v>
      </c>
      <c r="K435" s="138">
        <f>C435*2*D435</f>
        <v>0</v>
      </c>
      <c r="L435" s="140">
        <v>2</v>
      </c>
      <c r="M435" s="141">
        <f>D435*L435*3.28*0.668/2000</f>
        <v>6.2707564800000004E-2</v>
      </c>
      <c r="N435" s="142">
        <f>D435/0.4+1</f>
        <v>72.55</v>
      </c>
      <c r="O435" s="141">
        <f>G435*N435*3.28*0.668/2000</f>
        <v>0</v>
      </c>
      <c r="P435" s="142">
        <f>G435/0.4+1</f>
        <v>1</v>
      </c>
      <c r="Q435" s="139">
        <f>D435*0.55</f>
        <v>15.741000000000001</v>
      </c>
      <c r="R435" s="139"/>
    </row>
    <row r="436" spans="1:18" x14ac:dyDescent="0.2">
      <c r="A436" s="147"/>
      <c r="D436" s="150"/>
      <c r="E436" s="150" t="s">
        <v>228</v>
      </c>
      <c r="F436" s="150" t="s">
        <v>228</v>
      </c>
      <c r="G436" s="150"/>
      <c r="H436" s="150">
        <f>H431+H427</f>
        <v>230.6772</v>
      </c>
      <c r="I436" s="150">
        <f>I431+I427</f>
        <v>195.76080000000002</v>
      </c>
      <c r="J436" s="150">
        <f>J435+J431+J427</f>
        <v>34.916400000000003</v>
      </c>
      <c r="K436" s="150">
        <f>K435+K431+K427</f>
        <v>171.72</v>
      </c>
      <c r="L436" s="151" t="s">
        <v>229</v>
      </c>
      <c r="M436" s="152" t="e">
        <f>#REF!+M431+#REF!+M435+#REF!</f>
        <v>#REF!</v>
      </c>
      <c r="N436" s="153" t="s">
        <v>230</v>
      </c>
      <c r="O436" s="152" t="e">
        <f>#REF!+O431+#REF!+O435+#REF!</f>
        <v>#REF!</v>
      </c>
      <c r="P436" s="153" t="s">
        <v>230</v>
      </c>
      <c r="Q436" s="139"/>
      <c r="R436" s="139"/>
    </row>
    <row r="437" spans="1:18" x14ac:dyDescent="0.2">
      <c r="A437" s="147"/>
      <c r="D437" s="150"/>
      <c r="E437" s="150"/>
      <c r="F437" s="150"/>
      <c r="G437" s="150"/>
      <c r="H437" s="150"/>
      <c r="I437" s="150"/>
      <c r="J437" s="150"/>
      <c r="K437" s="150"/>
      <c r="L437" s="151"/>
      <c r="M437" s="152"/>
      <c r="N437" s="153"/>
      <c r="O437" s="152"/>
      <c r="P437" s="153"/>
      <c r="Q437" s="139"/>
      <c r="R437" s="139"/>
    </row>
    <row r="438" spans="1:18" x14ac:dyDescent="0.2">
      <c r="A438" s="147"/>
      <c r="D438" s="150"/>
      <c r="E438" s="150"/>
      <c r="F438" s="150"/>
      <c r="G438" s="150"/>
      <c r="H438" s="150"/>
      <c r="I438" s="150"/>
      <c r="J438" s="150"/>
      <c r="K438" s="150"/>
      <c r="L438" s="151"/>
      <c r="M438" s="152"/>
      <c r="N438" s="153"/>
      <c r="O438" s="152"/>
      <c r="P438" s="153"/>
      <c r="Q438" s="139"/>
      <c r="R438" s="139"/>
    </row>
    <row r="439" spans="1:18" x14ac:dyDescent="0.2">
      <c r="A439" s="147" t="s">
        <v>241</v>
      </c>
      <c r="H439" s="138"/>
      <c r="I439" s="138"/>
      <c r="J439" s="138"/>
      <c r="K439" s="138"/>
      <c r="L439" s="155"/>
      <c r="M439" s="139"/>
      <c r="O439" s="139"/>
      <c r="Q439" s="139"/>
      <c r="R439" s="141"/>
    </row>
    <row r="440" spans="1:18" x14ac:dyDescent="0.2">
      <c r="A440" s="147" t="s">
        <v>232</v>
      </c>
      <c r="H440" s="138"/>
      <c r="I440" s="138"/>
      <c r="J440" s="138"/>
      <c r="K440" s="138"/>
      <c r="Q440" s="139"/>
      <c r="R440" s="139"/>
    </row>
    <row r="441" spans="1:18" x14ac:dyDescent="0.2">
      <c r="A441" s="147"/>
      <c r="B441" s="111" t="s">
        <v>198</v>
      </c>
      <c r="C441" s="111" t="s">
        <v>199</v>
      </c>
      <c r="D441" s="111" t="s">
        <v>200</v>
      </c>
      <c r="E441" s="111" t="s">
        <v>201</v>
      </c>
      <c r="F441" s="111" t="s">
        <v>201</v>
      </c>
      <c r="G441" s="111"/>
      <c r="H441" s="148" t="s">
        <v>104</v>
      </c>
      <c r="I441" s="148" t="s">
        <v>202</v>
      </c>
      <c r="J441" s="148" t="s">
        <v>203</v>
      </c>
      <c r="K441" s="148" t="s">
        <v>204</v>
      </c>
      <c r="L441" s="111" t="s">
        <v>205</v>
      </c>
      <c r="M441" s="111" t="s">
        <v>205</v>
      </c>
      <c r="N441" s="111" t="s">
        <v>205</v>
      </c>
      <c r="O441" s="111" t="s">
        <v>205</v>
      </c>
      <c r="P441" s="111" t="s">
        <v>205</v>
      </c>
      <c r="Q441" s="139" t="s">
        <v>206</v>
      </c>
      <c r="R441" s="139"/>
    </row>
    <row r="442" spans="1:18" x14ac:dyDescent="0.2">
      <c r="A442" s="147" t="s">
        <v>207</v>
      </c>
      <c r="B442" s="111" t="s">
        <v>208</v>
      </c>
      <c r="C442" s="111" t="s">
        <v>208</v>
      </c>
      <c r="D442" s="111" t="s">
        <v>208</v>
      </c>
      <c r="E442" s="111" t="s">
        <v>208</v>
      </c>
      <c r="F442" s="111" t="s">
        <v>208</v>
      </c>
      <c r="G442" s="111"/>
      <c r="H442" s="148" t="s">
        <v>59</v>
      </c>
      <c r="I442" s="148" t="s">
        <v>59</v>
      </c>
      <c r="J442" s="148" t="s">
        <v>209</v>
      </c>
      <c r="K442" s="148" t="s">
        <v>5</v>
      </c>
      <c r="L442" s="111" t="s">
        <v>210</v>
      </c>
      <c r="M442" s="111" t="s">
        <v>211</v>
      </c>
      <c r="N442" s="111" t="s">
        <v>212</v>
      </c>
      <c r="O442" s="111" t="s">
        <v>211</v>
      </c>
      <c r="P442" s="111" t="s">
        <v>212</v>
      </c>
      <c r="Q442" s="139"/>
      <c r="R442" s="139"/>
    </row>
    <row r="443" spans="1:18" x14ac:dyDescent="0.2">
      <c r="A443" s="147"/>
      <c r="B443" s="111">
        <v>1.2</v>
      </c>
      <c r="C443" s="7">
        <v>0.3</v>
      </c>
      <c r="D443" s="7">
        <v>21.65</v>
      </c>
      <c r="E443" s="7">
        <v>1.5</v>
      </c>
      <c r="F443" s="7">
        <v>1.5</v>
      </c>
      <c r="H443" s="138">
        <f>B443*D443*E443</f>
        <v>38.97</v>
      </c>
      <c r="I443" s="138">
        <f>H443-J443</f>
        <v>31.175999999999998</v>
      </c>
      <c r="J443" s="138">
        <f>B443*C443*D443</f>
        <v>7.7939999999999996</v>
      </c>
      <c r="K443" s="138">
        <f>C443*2*D443</f>
        <v>12.989999999999998</v>
      </c>
      <c r="L443" s="140">
        <f>D443/0.4+1</f>
        <v>55.124999999999993</v>
      </c>
      <c r="M443" s="140">
        <f>B443/0.3+1</f>
        <v>5</v>
      </c>
      <c r="N443" s="140">
        <f>B443/0.4+1</f>
        <v>3.9999999999999996</v>
      </c>
      <c r="O443" s="140">
        <f>D443/0.3+1</f>
        <v>73.166666666666671</v>
      </c>
      <c r="P443" s="140">
        <f>D443/0.4+1</f>
        <v>55.124999999999993</v>
      </c>
      <c r="Q443" s="139"/>
      <c r="R443" s="139"/>
    </row>
    <row r="444" spans="1:18" x14ac:dyDescent="0.2">
      <c r="A444" s="147"/>
      <c r="B444" s="111">
        <v>0.25</v>
      </c>
      <c r="C444" s="7">
        <v>0.2</v>
      </c>
      <c r="D444" s="7">
        <v>21.65</v>
      </c>
      <c r="H444" s="138">
        <f>B444*C444*D444</f>
        <v>1.0825</v>
      </c>
      <c r="I444" s="138"/>
      <c r="J444" s="138">
        <f>B444*C444*D444</f>
        <v>1.0825</v>
      </c>
      <c r="K444" s="138"/>
      <c r="Q444" s="139"/>
      <c r="R444" s="139"/>
    </row>
    <row r="445" spans="1:18" x14ac:dyDescent="0.2">
      <c r="A445" s="147"/>
      <c r="H445" s="138">
        <f>SUM(H443:H444)</f>
        <v>40.052500000000002</v>
      </c>
      <c r="I445" s="138">
        <f>SUM(I443:I444)</f>
        <v>31.175999999999998</v>
      </c>
      <c r="J445" s="138">
        <f>SUM(J443:J444)</f>
        <v>8.8765000000000001</v>
      </c>
      <c r="K445" s="138">
        <f>SUM(K443:K444)</f>
        <v>12.989999999999998</v>
      </c>
      <c r="Q445" s="139"/>
      <c r="R445" s="139"/>
    </row>
    <row r="446" spans="1:18" x14ac:dyDescent="0.2">
      <c r="A446" s="147"/>
      <c r="H446" s="138"/>
      <c r="I446" s="138"/>
      <c r="J446" s="138"/>
      <c r="K446" s="138"/>
      <c r="Q446" s="139" t="s">
        <v>213</v>
      </c>
      <c r="R446" s="139"/>
    </row>
    <row r="447" spans="1:18" x14ac:dyDescent="0.2">
      <c r="A447" s="147" t="s">
        <v>214</v>
      </c>
      <c r="B447" s="111" t="s">
        <v>198</v>
      </c>
      <c r="C447" s="111" t="s">
        <v>199</v>
      </c>
      <c r="D447" s="111" t="s">
        <v>200</v>
      </c>
      <c r="E447" s="111" t="s">
        <v>201</v>
      </c>
      <c r="F447" s="111" t="s">
        <v>201</v>
      </c>
      <c r="G447" s="111"/>
      <c r="H447" s="148" t="s">
        <v>104</v>
      </c>
      <c r="I447" s="148" t="s">
        <v>202</v>
      </c>
      <c r="J447" s="148" t="s">
        <v>203</v>
      </c>
      <c r="K447" s="148" t="s">
        <v>204</v>
      </c>
      <c r="L447" s="111" t="s">
        <v>205</v>
      </c>
      <c r="M447" s="148" t="s">
        <v>215</v>
      </c>
      <c r="N447" s="148" t="s">
        <v>216</v>
      </c>
      <c r="O447" s="148" t="s">
        <v>215</v>
      </c>
      <c r="P447" s="148" t="s">
        <v>216</v>
      </c>
      <c r="Q447" s="139" t="s">
        <v>217</v>
      </c>
      <c r="R447" s="139" t="s">
        <v>218</v>
      </c>
    </row>
    <row r="448" spans="1:18" x14ac:dyDescent="0.2">
      <c r="A448" s="147"/>
      <c r="B448" s="111" t="s">
        <v>208</v>
      </c>
      <c r="C448" s="111" t="s">
        <v>208</v>
      </c>
      <c r="D448" s="111" t="s">
        <v>208</v>
      </c>
      <c r="E448" s="111" t="s">
        <v>208</v>
      </c>
      <c r="F448" s="111" t="s">
        <v>208</v>
      </c>
      <c r="G448" s="111"/>
      <c r="H448" s="148" t="s">
        <v>59</v>
      </c>
      <c r="I448" s="148" t="s">
        <v>59</v>
      </c>
      <c r="J448" s="148" t="s">
        <v>209</v>
      </c>
      <c r="K448" s="148" t="s">
        <v>5</v>
      </c>
      <c r="L448" s="111" t="s">
        <v>219</v>
      </c>
      <c r="M448" s="148" t="s">
        <v>220</v>
      </c>
      <c r="N448" s="148" t="s">
        <v>220</v>
      </c>
      <c r="O448" s="148" t="s">
        <v>220</v>
      </c>
      <c r="P448" s="148" t="s">
        <v>220</v>
      </c>
      <c r="Q448" s="139" t="s">
        <v>5</v>
      </c>
      <c r="R448" s="139" t="s">
        <v>221</v>
      </c>
    </row>
    <row r="449" spans="1:18" x14ac:dyDescent="0.2">
      <c r="A449" s="147"/>
      <c r="B449" s="111">
        <v>0.3</v>
      </c>
      <c r="C449" s="7">
        <v>5.9</v>
      </c>
      <c r="D449" s="7">
        <v>21.65</v>
      </c>
      <c r="H449" s="138">
        <f>(B449+2)*C449*D449</f>
        <v>293.79050000000001</v>
      </c>
      <c r="I449" s="138">
        <f>H449-J449</f>
        <v>255.47000000000003</v>
      </c>
      <c r="J449" s="138">
        <f>B449*C449*D449</f>
        <v>38.320499999999996</v>
      </c>
      <c r="K449" s="138">
        <f>C449*2*D449</f>
        <v>255.47</v>
      </c>
      <c r="L449" s="140">
        <f>D449/0.2+1</f>
        <v>109.24999999999999</v>
      </c>
      <c r="M449" s="142">
        <f>(C449+0.7)*L449*3.28*2*0.668/2000</f>
        <v>1.5798493920000001</v>
      </c>
      <c r="N449" s="142"/>
      <c r="O449" s="142">
        <f>(E449+0.7)*N449*3.28*2*0.668/2000</f>
        <v>0</v>
      </c>
      <c r="P449" s="142"/>
      <c r="Q449" s="139" t="e">
        <f>#REF!</f>
        <v>#REF!</v>
      </c>
      <c r="R449" s="139">
        <v>2</v>
      </c>
    </row>
    <row r="450" spans="1:18" x14ac:dyDescent="0.2">
      <c r="A450" s="147"/>
      <c r="H450" s="138"/>
      <c r="I450" s="138"/>
      <c r="J450" s="138"/>
      <c r="K450" s="138"/>
      <c r="Q450" s="139"/>
      <c r="R450" s="139"/>
    </row>
    <row r="451" spans="1:18" x14ac:dyDescent="0.2">
      <c r="A451" s="147" t="s">
        <v>222</v>
      </c>
      <c r="B451" s="111" t="s">
        <v>198</v>
      </c>
      <c r="C451" s="111" t="s">
        <v>199</v>
      </c>
      <c r="D451" s="111" t="s">
        <v>200</v>
      </c>
      <c r="E451" s="111" t="s">
        <v>201</v>
      </c>
      <c r="F451" s="111" t="s">
        <v>201</v>
      </c>
      <c r="G451" s="111"/>
      <c r="H451" s="148" t="s">
        <v>223</v>
      </c>
      <c r="I451" s="148" t="s">
        <v>224</v>
      </c>
      <c r="J451" s="148" t="s">
        <v>203</v>
      </c>
      <c r="K451" s="148" t="s">
        <v>204</v>
      </c>
      <c r="L451" s="111" t="s">
        <v>205</v>
      </c>
      <c r="M451" s="148" t="s">
        <v>215</v>
      </c>
      <c r="N451" s="111" t="s">
        <v>225</v>
      </c>
      <c r="O451" s="148" t="s">
        <v>215</v>
      </c>
      <c r="P451" s="111" t="s">
        <v>225</v>
      </c>
      <c r="Q451" s="139" t="s">
        <v>226</v>
      </c>
      <c r="R451" s="139"/>
    </row>
    <row r="452" spans="1:18" x14ac:dyDescent="0.2">
      <c r="A452" s="147"/>
      <c r="B452" s="111" t="s">
        <v>208</v>
      </c>
      <c r="C452" s="111" t="s">
        <v>208</v>
      </c>
      <c r="D452" s="7">
        <v>21.65</v>
      </c>
      <c r="E452" s="111" t="s">
        <v>208</v>
      </c>
      <c r="F452" s="111" t="s">
        <v>208</v>
      </c>
      <c r="G452" s="111"/>
      <c r="H452" s="148" t="s">
        <v>59</v>
      </c>
      <c r="I452" s="148" t="s">
        <v>27</v>
      </c>
      <c r="J452" s="148" t="s">
        <v>209</v>
      </c>
      <c r="K452" s="148" t="s">
        <v>5</v>
      </c>
      <c r="L452" s="111" t="s">
        <v>227</v>
      </c>
      <c r="M452" s="148" t="s">
        <v>220</v>
      </c>
      <c r="N452" s="111" t="s">
        <v>221</v>
      </c>
      <c r="O452" s="148" t="s">
        <v>220</v>
      </c>
      <c r="P452" s="111" t="s">
        <v>221</v>
      </c>
      <c r="Q452" s="139" t="s">
        <v>5</v>
      </c>
      <c r="R452" s="139"/>
    </row>
    <row r="453" spans="1:18" x14ac:dyDescent="0.2">
      <c r="A453" s="147"/>
      <c r="B453" s="111">
        <v>0</v>
      </c>
      <c r="C453" s="7">
        <v>0</v>
      </c>
      <c r="D453" s="7">
        <v>21.65</v>
      </c>
      <c r="E453" s="7">
        <v>0</v>
      </c>
      <c r="F453" s="7">
        <v>0</v>
      </c>
      <c r="H453" s="138">
        <f>0.3*0.6*D453</f>
        <v>3.8969999999999998</v>
      </c>
      <c r="I453" s="138">
        <f>D453</f>
        <v>21.65</v>
      </c>
      <c r="J453" s="138">
        <f>B453*C453*D453</f>
        <v>0</v>
      </c>
      <c r="K453" s="138">
        <f>C453*2*D453</f>
        <v>0</v>
      </c>
      <c r="L453" s="140">
        <v>2</v>
      </c>
      <c r="M453" s="141">
        <f>D453*L453*3.28*0.668/2000</f>
        <v>4.7436015999999998E-2</v>
      </c>
      <c r="N453" s="142">
        <f>D453/0.4+1</f>
        <v>55.124999999999993</v>
      </c>
      <c r="O453" s="141">
        <f>G453*N453*3.28*0.668/2000</f>
        <v>0</v>
      </c>
      <c r="P453" s="142">
        <f>G453/0.4+1</f>
        <v>1</v>
      </c>
      <c r="Q453" s="139">
        <f>D453*0.55</f>
        <v>11.907500000000001</v>
      </c>
      <c r="R453" s="139"/>
    </row>
    <row r="454" spans="1:18" x14ac:dyDescent="0.2">
      <c r="A454" s="147"/>
      <c r="D454" s="150"/>
      <c r="E454" s="150" t="s">
        <v>228</v>
      </c>
      <c r="F454" s="150" t="s">
        <v>228</v>
      </c>
      <c r="G454" s="150"/>
      <c r="H454" s="150">
        <f>H449+H445</f>
        <v>333.84300000000002</v>
      </c>
      <c r="I454" s="150">
        <f>I449+I445</f>
        <v>286.64600000000002</v>
      </c>
      <c r="J454" s="150">
        <f>J453+J449+J445</f>
        <v>47.196999999999996</v>
      </c>
      <c r="K454" s="150">
        <f>K453+K449+K445</f>
        <v>268.45999999999998</v>
      </c>
      <c r="L454" s="151" t="s">
        <v>229</v>
      </c>
      <c r="M454" s="152" t="e">
        <f>#REF!+M449+#REF!+M453+#REF!</f>
        <v>#REF!</v>
      </c>
      <c r="N454" s="153" t="s">
        <v>230</v>
      </c>
      <c r="O454" s="152" t="e">
        <f>#REF!+O449+#REF!+O453+#REF!</f>
        <v>#REF!</v>
      </c>
      <c r="P454" s="153" t="s">
        <v>230</v>
      </c>
      <c r="Q454" s="139"/>
      <c r="R454" s="139"/>
    </row>
    <row r="455" spans="1:18" x14ac:dyDescent="0.2">
      <c r="A455" s="147"/>
      <c r="D455" s="150"/>
      <c r="E455" s="150"/>
      <c r="F455" s="150"/>
      <c r="G455" s="150"/>
      <c r="H455" s="150"/>
      <c r="I455" s="150"/>
      <c r="J455" s="150"/>
      <c r="K455" s="150"/>
      <c r="L455" s="151"/>
      <c r="M455" s="152"/>
      <c r="N455" s="153"/>
      <c r="O455" s="152"/>
      <c r="P455" s="153"/>
      <c r="Q455" s="139"/>
      <c r="R455" s="139"/>
    </row>
    <row r="456" spans="1:18" x14ac:dyDescent="0.2">
      <c r="A456" s="147" t="s">
        <v>242</v>
      </c>
      <c r="H456" s="138"/>
      <c r="I456" s="138"/>
      <c r="J456" s="138"/>
      <c r="K456" s="138"/>
      <c r="L456" s="155"/>
      <c r="M456" s="139"/>
      <c r="O456" s="139"/>
      <c r="Q456" s="139"/>
      <c r="R456" s="141"/>
    </row>
    <row r="457" spans="1:18" x14ac:dyDescent="0.2">
      <c r="A457" s="147" t="s">
        <v>232</v>
      </c>
      <c r="H457" s="138"/>
      <c r="I457" s="138"/>
      <c r="J457" s="138"/>
      <c r="K457" s="138"/>
      <c r="Q457" s="139"/>
      <c r="R457" s="139"/>
    </row>
    <row r="458" spans="1:18" x14ac:dyDescent="0.2">
      <c r="A458" s="147"/>
      <c r="B458" s="111" t="s">
        <v>198</v>
      </c>
      <c r="C458" s="111" t="s">
        <v>199</v>
      </c>
      <c r="D458" s="111" t="s">
        <v>200</v>
      </c>
      <c r="E458" s="111" t="s">
        <v>201</v>
      </c>
      <c r="F458" s="111" t="s">
        <v>201</v>
      </c>
      <c r="G458" s="111"/>
      <c r="H458" s="148" t="s">
        <v>104</v>
      </c>
      <c r="I458" s="148" t="s">
        <v>202</v>
      </c>
      <c r="J458" s="148" t="s">
        <v>203</v>
      </c>
      <c r="K458" s="148" t="s">
        <v>204</v>
      </c>
      <c r="L458" s="111" t="s">
        <v>205</v>
      </c>
      <c r="M458" s="111" t="s">
        <v>205</v>
      </c>
      <c r="N458" s="111" t="s">
        <v>205</v>
      </c>
      <c r="O458" s="111" t="s">
        <v>205</v>
      </c>
      <c r="P458" s="111" t="s">
        <v>205</v>
      </c>
      <c r="Q458" s="139" t="s">
        <v>206</v>
      </c>
      <c r="R458" s="139"/>
    </row>
    <row r="459" spans="1:18" x14ac:dyDescent="0.2">
      <c r="A459" s="147" t="s">
        <v>207</v>
      </c>
      <c r="B459" s="111" t="s">
        <v>208</v>
      </c>
      <c r="C459" s="111" t="s">
        <v>208</v>
      </c>
      <c r="D459" s="111" t="s">
        <v>208</v>
      </c>
      <c r="E459" s="111" t="s">
        <v>208</v>
      </c>
      <c r="F459" s="111" t="s">
        <v>208</v>
      </c>
      <c r="G459" s="111"/>
      <c r="H459" s="148" t="s">
        <v>59</v>
      </c>
      <c r="I459" s="148" t="s">
        <v>59</v>
      </c>
      <c r="J459" s="148" t="s">
        <v>209</v>
      </c>
      <c r="K459" s="148" t="s">
        <v>5</v>
      </c>
      <c r="L459" s="111" t="s">
        <v>210</v>
      </c>
      <c r="M459" s="111" t="s">
        <v>211</v>
      </c>
      <c r="N459" s="111" t="s">
        <v>212</v>
      </c>
      <c r="O459" s="111" t="s">
        <v>211</v>
      </c>
      <c r="P459" s="111" t="s">
        <v>212</v>
      </c>
      <c r="Q459" s="139"/>
      <c r="R459" s="139"/>
    </row>
    <row r="460" spans="1:18" x14ac:dyDescent="0.2">
      <c r="A460" s="147"/>
      <c r="B460" s="111">
        <v>1.2</v>
      </c>
      <c r="C460" s="7">
        <v>0.3</v>
      </c>
      <c r="D460" s="7">
        <v>16.14</v>
      </c>
      <c r="E460" s="7">
        <v>1.5</v>
      </c>
      <c r="F460" s="7">
        <v>1.5</v>
      </c>
      <c r="H460" s="138">
        <f>B460*D460*E460</f>
        <v>29.052</v>
      </c>
      <c r="I460" s="138">
        <f>H460-J460</f>
        <v>23.241599999999998</v>
      </c>
      <c r="J460" s="138">
        <f>B460*C460*D460</f>
        <v>5.8103999999999996</v>
      </c>
      <c r="K460" s="138">
        <f>C460*2*D460</f>
        <v>9.6839999999999993</v>
      </c>
      <c r="L460" s="140">
        <f>D460/0.4+1</f>
        <v>41.35</v>
      </c>
      <c r="M460" s="140">
        <f>B460/0.3+1</f>
        <v>5</v>
      </c>
      <c r="N460" s="140">
        <f>B460/0.4+1</f>
        <v>3.9999999999999996</v>
      </c>
      <c r="O460" s="140">
        <f>D460/0.3+1</f>
        <v>54.800000000000004</v>
      </c>
      <c r="P460" s="140">
        <f>D460/0.4+1</f>
        <v>41.35</v>
      </c>
      <c r="Q460" s="139"/>
      <c r="R460" s="139"/>
    </row>
    <row r="461" spans="1:18" x14ac:dyDescent="0.2">
      <c r="A461" s="147"/>
      <c r="B461" s="111">
        <v>0.25</v>
      </c>
      <c r="C461" s="7">
        <v>0.2</v>
      </c>
      <c r="D461" s="7">
        <v>16.14</v>
      </c>
      <c r="H461" s="138">
        <f>B461*C461*D461</f>
        <v>0.80700000000000005</v>
      </c>
      <c r="I461" s="138"/>
      <c r="J461" s="138">
        <f>B461*C461*D461</f>
        <v>0.80700000000000005</v>
      </c>
      <c r="K461" s="138"/>
      <c r="Q461" s="139"/>
      <c r="R461" s="139"/>
    </row>
    <row r="462" spans="1:18" x14ac:dyDescent="0.2">
      <c r="A462" s="147"/>
      <c r="H462" s="138">
        <f>SUM(H460:H461)</f>
        <v>29.858999999999998</v>
      </c>
      <c r="I462" s="138">
        <f>SUM(I460:I461)</f>
        <v>23.241599999999998</v>
      </c>
      <c r="J462" s="138">
        <f>SUM(J460:J461)</f>
        <v>6.6173999999999999</v>
      </c>
      <c r="K462" s="138">
        <f>SUM(K460:K461)</f>
        <v>9.6839999999999993</v>
      </c>
      <c r="Q462" s="139"/>
      <c r="R462" s="139"/>
    </row>
    <row r="463" spans="1:18" x14ac:dyDescent="0.2">
      <c r="A463" s="147"/>
      <c r="H463" s="138"/>
      <c r="I463" s="138"/>
      <c r="J463" s="138"/>
      <c r="K463" s="138"/>
      <c r="Q463" s="139" t="s">
        <v>213</v>
      </c>
      <c r="R463" s="139"/>
    </row>
    <row r="464" spans="1:18" x14ac:dyDescent="0.2">
      <c r="A464" s="147" t="s">
        <v>214</v>
      </c>
      <c r="B464" s="111" t="s">
        <v>198</v>
      </c>
      <c r="C464" s="111" t="s">
        <v>199</v>
      </c>
      <c r="D464" s="111" t="s">
        <v>200</v>
      </c>
      <c r="E464" s="111" t="s">
        <v>201</v>
      </c>
      <c r="F464" s="111" t="s">
        <v>201</v>
      </c>
      <c r="G464" s="111"/>
      <c r="H464" s="148" t="s">
        <v>104</v>
      </c>
      <c r="I464" s="148" t="s">
        <v>202</v>
      </c>
      <c r="J464" s="148" t="s">
        <v>203</v>
      </c>
      <c r="K464" s="148" t="s">
        <v>204</v>
      </c>
      <c r="L464" s="111" t="s">
        <v>205</v>
      </c>
      <c r="M464" s="148" t="s">
        <v>215</v>
      </c>
      <c r="N464" s="148" t="s">
        <v>216</v>
      </c>
      <c r="O464" s="148" t="s">
        <v>215</v>
      </c>
      <c r="P464" s="148" t="s">
        <v>216</v>
      </c>
      <c r="Q464" s="139" t="s">
        <v>217</v>
      </c>
      <c r="R464" s="139" t="s">
        <v>218</v>
      </c>
    </row>
    <row r="465" spans="1:18" x14ac:dyDescent="0.2">
      <c r="A465" s="147"/>
      <c r="B465" s="111" t="s">
        <v>208</v>
      </c>
      <c r="C465" s="111" t="s">
        <v>208</v>
      </c>
      <c r="D465" s="111" t="s">
        <v>208</v>
      </c>
      <c r="E465" s="111" t="s">
        <v>208</v>
      </c>
      <c r="F465" s="111" t="s">
        <v>208</v>
      </c>
      <c r="G465" s="111"/>
      <c r="H465" s="148" t="s">
        <v>59</v>
      </c>
      <c r="I465" s="148" t="s">
        <v>59</v>
      </c>
      <c r="J465" s="148" t="s">
        <v>209</v>
      </c>
      <c r="K465" s="148" t="s">
        <v>5</v>
      </c>
      <c r="L465" s="111" t="s">
        <v>219</v>
      </c>
      <c r="M465" s="148" t="s">
        <v>220</v>
      </c>
      <c r="N465" s="148" t="s">
        <v>220</v>
      </c>
      <c r="O465" s="148" t="s">
        <v>220</v>
      </c>
      <c r="P465" s="148" t="s">
        <v>220</v>
      </c>
      <c r="Q465" s="139" t="s">
        <v>5</v>
      </c>
      <c r="R465" s="139" t="s">
        <v>221</v>
      </c>
    </row>
    <row r="466" spans="1:18" x14ac:dyDescent="0.2">
      <c r="A466" s="147"/>
      <c r="B466" s="111">
        <v>0.3</v>
      </c>
      <c r="C466" s="7">
        <v>4</v>
      </c>
      <c r="D466" s="7">
        <v>16.14</v>
      </c>
      <c r="H466" s="138">
        <f>(B466+2)*C466*D466</f>
        <v>148.488</v>
      </c>
      <c r="I466" s="138">
        <f>H466-J466</f>
        <v>129.12</v>
      </c>
      <c r="J466" s="138">
        <f>B466*C466*D466</f>
        <v>19.367999999999999</v>
      </c>
      <c r="K466" s="138">
        <f>C466*2*D466</f>
        <v>129.12</v>
      </c>
      <c r="L466" s="140">
        <f>D466/0.2+1</f>
        <v>81.7</v>
      </c>
      <c r="M466" s="142">
        <f>(C466+0.7)*L466*3.28*2*0.668/2000</f>
        <v>0.84133744960000001</v>
      </c>
      <c r="N466" s="142"/>
      <c r="O466" s="142">
        <f>(E466+0.7)*N466*3.28*2*0.668/2000</f>
        <v>0</v>
      </c>
      <c r="P466" s="142"/>
      <c r="Q466" s="139" t="e">
        <f>#REF!</f>
        <v>#REF!</v>
      </c>
      <c r="R466" s="139">
        <v>2</v>
      </c>
    </row>
    <row r="467" spans="1:18" x14ac:dyDescent="0.2">
      <c r="A467" s="147"/>
      <c r="H467" s="138"/>
      <c r="I467" s="138"/>
      <c r="J467" s="138"/>
      <c r="K467" s="138"/>
      <c r="Q467" s="139"/>
      <c r="R467" s="139"/>
    </row>
    <row r="468" spans="1:18" x14ac:dyDescent="0.2">
      <c r="A468" s="147" t="s">
        <v>222</v>
      </c>
      <c r="B468" s="111" t="s">
        <v>198</v>
      </c>
      <c r="C468" s="111" t="s">
        <v>199</v>
      </c>
      <c r="D468" s="111" t="s">
        <v>200</v>
      </c>
      <c r="E468" s="111" t="s">
        <v>201</v>
      </c>
      <c r="F468" s="111" t="s">
        <v>201</v>
      </c>
      <c r="G468" s="111"/>
      <c r="H468" s="148" t="s">
        <v>223</v>
      </c>
      <c r="I468" s="148" t="s">
        <v>224</v>
      </c>
      <c r="J468" s="148" t="s">
        <v>203</v>
      </c>
      <c r="K468" s="148" t="s">
        <v>204</v>
      </c>
      <c r="L468" s="111" t="s">
        <v>205</v>
      </c>
      <c r="M468" s="148" t="s">
        <v>215</v>
      </c>
      <c r="N468" s="111" t="s">
        <v>225</v>
      </c>
      <c r="O468" s="148" t="s">
        <v>215</v>
      </c>
      <c r="P468" s="111" t="s">
        <v>225</v>
      </c>
      <c r="Q468" s="139" t="s">
        <v>226</v>
      </c>
      <c r="R468" s="139"/>
    </row>
    <row r="469" spans="1:18" x14ac:dyDescent="0.2">
      <c r="A469" s="147"/>
      <c r="B469" s="111" t="s">
        <v>208</v>
      </c>
      <c r="C469" s="111" t="s">
        <v>208</v>
      </c>
      <c r="D469" s="7">
        <v>16.14</v>
      </c>
      <c r="E469" s="111" t="s">
        <v>208</v>
      </c>
      <c r="F469" s="111" t="s">
        <v>208</v>
      </c>
      <c r="G469" s="111"/>
      <c r="H469" s="148" t="s">
        <v>59</v>
      </c>
      <c r="I469" s="148" t="s">
        <v>27</v>
      </c>
      <c r="J469" s="148" t="s">
        <v>209</v>
      </c>
      <c r="K469" s="148" t="s">
        <v>5</v>
      </c>
      <c r="L469" s="111" t="s">
        <v>227</v>
      </c>
      <c r="M469" s="148" t="s">
        <v>220</v>
      </c>
      <c r="N469" s="111" t="s">
        <v>221</v>
      </c>
      <c r="O469" s="148" t="s">
        <v>220</v>
      </c>
      <c r="P469" s="111" t="s">
        <v>221</v>
      </c>
      <c r="Q469" s="139" t="s">
        <v>5</v>
      </c>
      <c r="R469" s="139"/>
    </row>
    <row r="470" spans="1:18" x14ac:dyDescent="0.2">
      <c r="A470" s="147"/>
      <c r="B470" s="111">
        <v>0</v>
      </c>
      <c r="C470" s="7">
        <v>0</v>
      </c>
      <c r="D470" s="7">
        <v>16.14</v>
      </c>
      <c r="E470" s="7">
        <v>0</v>
      </c>
      <c r="F470" s="7">
        <v>0</v>
      </c>
      <c r="H470" s="138">
        <f>0.3*0.6*D470</f>
        <v>2.9051999999999998</v>
      </c>
      <c r="I470" s="138">
        <f>D470</f>
        <v>16.14</v>
      </c>
      <c r="J470" s="138">
        <f>B470*C470*D470</f>
        <v>0</v>
      </c>
      <c r="K470" s="138">
        <f>C470*2*D470</f>
        <v>0</v>
      </c>
      <c r="L470" s="140">
        <v>2</v>
      </c>
      <c r="M470" s="141">
        <f>D470*L470*3.28*0.668/2000</f>
        <v>3.5363385599999998E-2</v>
      </c>
      <c r="N470" s="142">
        <f>D470/0.4+1</f>
        <v>41.35</v>
      </c>
      <c r="O470" s="141">
        <f>G470*N470*3.28*0.668/2000</f>
        <v>0</v>
      </c>
      <c r="P470" s="142">
        <f>G470/0.4+1</f>
        <v>1</v>
      </c>
      <c r="Q470" s="139">
        <f>D470*0.55</f>
        <v>8.8770000000000007</v>
      </c>
      <c r="R470" s="139"/>
    </row>
    <row r="471" spans="1:18" x14ac:dyDescent="0.2">
      <c r="A471" s="147"/>
      <c r="D471" s="150"/>
      <c r="E471" s="150" t="s">
        <v>228</v>
      </c>
      <c r="F471" s="150" t="s">
        <v>228</v>
      </c>
      <c r="G471" s="150"/>
      <c r="H471" s="150">
        <f>H466+H462</f>
        <v>178.34700000000001</v>
      </c>
      <c r="I471" s="150">
        <f>I466+I462</f>
        <v>152.36160000000001</v>
      </c>
      <c r="J471" s="150">
        <f>J470+J466+J462</f>
        <v>25.985399999999998</v>
      </c>
      <c r="K471" s="150">
        <f>K470+K466+K462</f>
        <v>138.804</v>
      </c>
      <c r="L471" s="151" t="s">
        <v>229</v>
      </c>
      <c r="M471" s="152" t="e">
        <f>#REF!+M466+#REF!+M470+#REF!</f>
        <v>#REF!</v>
      </c>
      <c r="N471" s="153" t="s">
        <v>230</v>
      </c>
      <c r="O471" s="152" t="e">
        <f>#REF!+O466+#REF!+O470+#REF!</f>
        <v>#REF!</v>
      </c>
      <c r="P471" s="153" t="s">
        <v>230</v>
      </c>
      <c r="Q471" s="139"/>
      <c r="R471" s="139"/>
    </row>
    <row r="472" spans="1:18" x14ac:dyDescent="0.2">
      <c r="A472" s="147"/>
      <c r="D472" s="150"/>
      <c r="E472" s="150"/>
      <c r="F472" s="150"/>
      <c r="G472" s="150"/>
      <c r="H472" s="150"/>
      <c r="I472" s="150"/>
      <c r="J472" s="150"/>
      <c r="K472" s="150"/>
      <c r="L472" s="151"/>
      <c r="M472" s="152"/>
      <c r="N472" s="153"/>
      <c r="O472" s="152"/>
      <c r="P472" s="153"/>
      <c r="Q472" s="139"/>
      <c r="R472" s="139"/>
    </row>
    <row r="473" spans="1:18" x14ac:dyDescent="0.2">
      <c r="A473" s="147"/>
      <c r="D473" s="150"/>
      <c r="E473" s="150"/>
      <c r="F473" s="150"/>
      <c r="G473" s="150"/>
      <c r="H473" s="150">
        <f>H471+H454+H436+H419</f>
        <v>875.24279999999999</v>
      </c>
      <c r="I473" s="150">
        <f>I471+I454+I436+I419</f>
        <v>746.75</v>
      </c>
      <c r="J473" s="150">
        <f>J471+J454+J436+J419</f>
        <v>128.49280000000002</v>
      </c>
      <c r="K473" s="150">
        <f>K471+K454+K436+K419</f>
        <v>675.39200000000005</v>
      </c>
      <c r="L473" s="151"/>
      <c r="M473" s="152" t="e">
        <f>M471+M454+++M436+M419</f>
        <v>#REF!</v>
      </c>
      <c r="N473" s="153"/>
      <c r="O473" s="152" t="e">
        <f>O471+O454+++O436+O419</f>
        <v>#REF!</v>
      </c>
      <c r="P473" s="153"/>
      <c r="Q473" s="139"/>
      <c r="R473" s="139"/>
    </row>
    <row r="474" spans="1:18" x14ac:dyDescent="0.2">
      <c r="A474" s="147"/>
      <c r="D474" s="150"/>
      <c r="E474" s="150"/>
      <c r="F474" s="150"/>
      <c r="G474" s="150"/>
      <c r="H474" s="150"/>
      <c r="I474" s="150">
        <f>I470+I453+I435+I418</f>
        <v>84.949999999999989</v>
      </c>
      <c r="J474" s="150"/>
      <c r="K474" s="150"/>
      <c r="L474" s="151"/>
      <c r="M474" s="152"/>
      <c r="N474" s="153"/>
      <c r="O474" s="152"/>
      <c r="P474" s="153"/>
      <c r="Q474" s="139"/>
      <c r="R474" s="139"/>
    </row>
    <row r="475" spans="1:18" x14ac:dyDescent="0.2">
      <c r="A475" s="137"/>
    </row>
    <row r="476" spans="1:18" x14ac:dyDescent="0.2">
      <c r="A476" s="147" t="s">
        <v>243</v>
      </c>
      <c r="H476" s="138"/>
      <c r="I476" s="138"/>
      <c r="J476" s="138"/>
      <c r="K476" s="138"/>
      <c r="L476" s="155"/>
      <c r="M476" s="139"/>
      <c r="O476" s="139"/>
      <c r="Q476" s="139"/>
      <c r="R476" s="141"/>
    </row>
    <row r="477" spans="1:18" x14ac:dyDescent="0.2">
      <c r="A477" s="147" t="s">
        <v>232</v>
      </c>
      <c r="H477" s="138"/>
      <c r="I477" s="138"/>
      <c r="J477" s="138"/>
      <c r="K477" s="138"/>
      <c r="Q477" s="139"/>
      <c r="R477" s="139"/>
    </row>
    <row r="478" spans="1:18" x14ac:dyDescent="0.2">
      <c r="A478" s="147"/>
      <c r="B478" s="111" t="s">
        <v>198</v>
      </c>
      <c r="C478" s="111" t="s">
        <v>199</v>
      </c>
      <c r="D478" s="111" t="s">
        <v>200</v>
      </c>
      <c r="E478" s="111" t="s">
        <v>201</v>
      </c>
      <c r="F478" s="111" t="s">
        <v>201</v>
      </c>
      <c r="G478" s="111"/>
      <c r="H478" s="148" t="s">
        <v>104</v>
      </c>
      <c r="I478" s="148" t="s">
        <v>202</v>
      </c>
      <c r="J478" s="148" t="s">
        <v>203</v>
      </c>
      <c r="K478" s="148" t="s">
        <v>204</v>
      </c>
      <c r="L478" s="111" t="s">
        <v>205</v>
      </c>
      <c r="M478" s="111" t="s">
        <v>205</v>
      </c>
      <c r="N478" s="111" t="s">
        <v>205</v>
      </c>
      <c r="O478" s="111" t="s">
        <v>205</v>
      </c>
      <c r="P478" s="111" t="s">
        <v>205</v>
      </c>
      <c r="Q478" s="139" t="s">
        <v>206</v>
      </c>
      <c r="R478" s="139"/>
    </row>
    <row r="479" spans="1:18" x14ac:dyDescent="0.2">
      <c r="A479" s="147" t="s">
        <v>207</v>
      </c>
      <c r="B479" s="111" t="s">
        <v>208</v>
      </c>
      <c r="C479" s="111" t="s">
        <v>208</v>
      </c>
      <c r="D479" s="111" t="s">
        <v>208</v>
      </c>
      <c r="E479" s="111" t="s">
        <v>208</v>
      </c>
      <c r="F479" s="111" t="s">
        <v>208</v>
      </c>
      <c r="G479" s="111"/>
      <c r="H479" s="148" t="s">
        <v>59</v>
      </c>
      <c r="I479" s="148" t="s">
        <v>59</v>
      </c>
      <c r="J479" s="148" t="s">
        <v>209</v>
      </c>
      <c r="K479" s="148" t="s">
        <v>5</v>
      </c>
      <c r="L479" s="111" t="s">
        <v>210</v>
      </c>
      <c r="M479" s="111" t="s">
        <v>244</v>
      </c>
      <c r="N479" s="111" t="s">
        <v>244</v>
      </c>
      <c r="O479" s="111" t="s">
        <v>244</v>
      </c>
      <c r="P479" s="111" t="s">
        <v>244</v>
      </c>
      <c r="Q479" s="139"/>
      <c r="R479" s="139"/>
    </row>
    <row r="480" spans="1:18" x14ac:dyDescent="0.2">
      <c r="A480" s="147"/>
      <c r="B480" s="111">
        <v>1.2</v>
      </c>
      <c r="C480" s="7">
        <v>0.3</v>
      </c>
      <c r="D480" s="7">
        <v>21.37</v>
      </c>
      <c r="E480" s="7">
        <v>1.75</v>
      </c>
      <c r="F480" s="7">
        <v>1.75</v>
      </c>
      <c r="H480" s="138">
        <f>B480*D480*E480</f>
        <v>44.877000000000002</v>
      </c>
      <c r="I480" s="138">
        <f>H480-J480</f>
        <v>37.183800000000005</v>
      </c>
      <c r="J480" s="138">
        <f>B480*C480*D480</f>
        <v>7.6932</v>
      </c>
      <c r="K480" s="138">
        <f>C480*2*D480</f>
        <v>12.822000000000001</v>
      </c>
      <c r="L480" s="140">
        <f>D480/0.4+1</f>
        <v>54.424999999999997</v>
      </c>
      <c r="M480" s="140">
        <f>B480/0.25+1</f>
        <v>5.8</v>
      </c>
      <c r="N480" s="140">
        <f>B480/0.25+1</f>
        <v>5.8</v>
      </c>
      <c r="O480" s="140">
        <f>D480/0.25+1</f>
        <v>86.48</v>
      </c>
      <c r="P480" s="140">
        <f>D480/0.25+1</f>
        <v>86.48</v>
      </c>
      <c r="Q480" s="139"/>
      <c r="R480" s="139"/>
    </row>
    <row r="481" spans="1:18" x14ac:dyDescent="0.2">
      <c r="A481" s="147"/>
      <c r="B481" s="111">
        <v>0.45</v>
      </c>
      <c r="C481" s="7">
        <v>0.45</v>
      </c>
      <c r="D481" s="7">
        <v>21.37</v>
      </c>
      <c r="H481" s="138">
        <f>B481*C481*D481</f>
        <v>4.3274250000000007</v>
      </c>
      <c r="I481" s="138"/>
      <c r="J481" s="138">
        <f>B481*C481*D481</f>
        <v>4.3274250000000007</v>
      </c>
      <c r="K481" s="138"/>
      <c r="Q481" s="139"/>
      <c r="R481" s="139"/>
    </row>
    <row r="482" spans="1:18" x14ac:dyDescent="0.2">
      <c r="A482" s="147"/>
      <c r="H482" s="138">
        <f>SUM(H480:H481)</f>
        <v>49.204425000000001</v>
      </c>
      <c r="I482" s="138">
        <f>SUM(I480:I481)</f>
        <v>37.183800000000005</v>
      </c>
      <c r="J482" s="138">
        <f>SUM(J480:J481)</f>
        <v>12.020625000000001</v>
      </c>
      <c r="K482" s="138">
        <f>SUM(K480:K481)</f>
        <v>12.822000000000001</v>
      </c>
      <c r="Q482" s="139"/>
      <c r="R482" s="139"/>
    </row>
    <row r="483" spans="1:18" x14ac:dyDescent="0.2">
      <c r="A483" s="147"/>
      <c r="H483" s="138"/>
      <c r="I483" s="138"/>
      <c r="J483" s="138"/>
      <c r="K483" s="138"/>
      <c r="Q483" s="139" t="s">
        <v>213</v>
      </c>
      <c r="R483" s="139"/>
    </row>
    <row r="484" spans="1:18" x14ac:dyDescent="0.2">
      <c r="A484" s="147" t="s">
        <v>214</v>
      </c>
      <c r="B484" s="111" t="s">
        <v>198</v>
      </c>
      <c r="C484" s="111" t="s">
        <v>199</v>
      </c>
      <c r="D484" s="111" t="s">
        <v>200</v>
      </c>
      <c r="E484" s="111" t="s">
        <v>201</v>
      </c>
      <c r="F484" s="111" t="s">
        <v>201</v>
      </c>
      <c r="G484" s="111"/>
      <c r="H484" s="148" t="s">
        <v>104</v>
      </c>
      <c r="I484" s="148" t="s">
        <v>202</v>
      </c>
      <c r="J484" s="148" t="s">
        <v>203</v>
      </c>
      <c r="K484" s="148" t="s">
        <v>204</v>
      </c>
      <c r="L484" s="111" t="s">
        <v>205</v>
      </c>
      <c r="M484" s="148" t="s">
        <v>215</v>
      </c>
      <c r="N484" s="148" t="s">
        <v>216</v>
      </c>
      <c r="O484" s="148" t="s">
        <v>215</v>
      </c>
      <c r="P484" s="148" t="s">
        <v>216</v>
      </c>
      <c r="Q484" s="139" t="s">
        <v>217</v>
      </c>
      <c r="R484" s="139" t="s">
        <v>218</v>
      </c>
    </row>
    <row r="485" spans="1:18" x14ac:dyDescent="0.2">
      <c r="A485" s="147"/>
      <c r="B485" s="111" t="s">
        <v>208</v>
      </c>
      <c r="C485" s="111" t="s">
        <v>208</v>
      </c>
      <c r="D485" s="111" t="s">
        <v>208</v>
      </c>
      <c r="E485" s="111" t="s">
        <v>208</v>
      </c>
      <c r="F485" s="111" t="s">
        <v>208</v>
      </c>
      <c r="G485" s="111"/>
      <c r="H485" s="148" t="s">
        <v>59</v>
      </c>
      <c r="I485" s="148" t="s">
        <v>59</v>
      </c>
      <c r="J485" s="148" t="s">
        <v>209</v>
      </c>
      <c r="K485" s="148" t="s">
        <v>5</v>
      </c>
      <c r="L485" s="111" t="s">
        <v>219</v>
      </c>
      <c r="M485" s="148" t="s">
        <v>220</v>
      </c>
      <c r="N485" s="148" t="s">
        <v>220</v>
      </c>
      <c r="O485" s="148" t="s">
        <v>220</v>
      </c>
      <c r="P485" s="148" t="s">
        <v>220</v>
      </c>
      <c r="Q485" s="139" t="s">
        <v>5</v>
      </c>
      <c r="R485" s="139" t="s">
        <v>221</v>
      </c>
    </row>
    <row r="486" spans="1:18" x14ac:dyDescent="0.2">
      <c r="A486" s="147"/>
      <c r="B486" s="111">
        <v>0.3</v>
      </c>
      <c r="C486" s="7">
        <v>4</v>
      </c>
      <c r="D486" s="7">
        <v>21.37</v>
      </c>
      <c r="H486" s="138">
        <f>(B486+2)*C486*D486</f>
        <v>196.60399999999998</v>
      </c>
      <c r="I486" s="138">
        <f>H486-J486</f>
        <v>170.95999999999998</v>
      </c>
      <c r="J486" s="138">
        <f>B486*C486*D486</f>
        <v>25.644000000000002</v>
      </c>
      <c r="K486" s="138">
        <f>C486*2*D486</f>
        <v>170.96</v>
      </c>
      <c r="L486" s="140">
        <f>D486/0.2+1</f>
        <v>107.85</v>
      </c>
      <c r="M486" s="142">
        <f>(C486+0.7)*L486*3.28*0.668/2000</f>
        <v>0.55531361040000005</v>
      </c>
      <c r="N486" s="142">
        <f>(C486+0.7)*82*3.28*1.04/2000</f>
        <v>0.65733824000000007</v>
      </c>
      <c r="O486" s="142">
        <f>(E486+0.7)*N486*3.28*0.668/2000</f>
        <v>5.040890320793601E-4</v>
      </c>
      <c r="P486" s="142">
        <f>(E486+0.7)*82*3.28*1.04/2000</f>
        <v>9.7901439999999992E-2</v>
      </c>
      <c r="Q486" s="139" t="e">
        <f>#REF!</f>
        <v>#REF!</v>
      </c>
      <c r="R486" s="139">
        <v>2</v>
      </c>
    </row>
    <row r="487" spans="1:18" x14ac:dyDescent="0.2">
      <c r="A487" s="147"/>
      <c r="H487" s="138"/>
      <c r="I487" s="138"/>
      <c r="J487" s="138"/>
      <c r="K487" s="138"/>
      <c r="Q487" s="139"/>
      <c r="R487" s="139"/>
    </row>
    <row r="488" spans="1:18" x14ac:dyDescent="0.2">
      <c r="A488" s="147" t="s">
        <v>222</v>
      </c>
      <c r="B488" s="111" t="s">
        <v>198</v>
      </c>
      <c r="C488" s="111" t="s">
        <v>199</v>
      </c>
      <c r="D488" s="111" t="s">
        <v>200</v>
      </c>
      <c r="E488" s="111" t="s">
        <v>201</v>
      </c>
      <c r="F488" s="111" t="s">
        <v>201</v>
      </c>
      <c r="G488" s="111"/>
      <c r="H488" s="148" t="s">
        <v>223</v>
      </c>
      <c r="I488" s="148" t="s">
        <v>224</v>
      </c>
      <c r="J488" s="148" t="s">
        <v>203</v>
      </c>
      <c r="K488" s="148" t="s">
        <v>204</v>
      </c>
      <c r="L488" s="111" t="s">
        <v>205</v>
      </c>
      <c r="M488" s="148" t="s">
        <v>215</v>
      </c>
      <c r="N488" s="111" t="s">
        <v>225</v>
      </c>
      <c r="O488" s="148" t="s">
        <v>215</v>
      </c>
      <c r="P488" s="111" t="s">
        <v>225</v>
      </c>
      <c r="Q488" s="139" t="s">
        <v>226</v>
      </c>
      <c r="R488" s="139"/>
    </row>
    <row r="489" spans="1:18" x14ac:dyDescent="0.2">
      <c r="A489" s="147"/>
      <c r="B489" s="111" t="s">
        <v>208</v>
      </c>
      <c r="C489" s="111" t="s">
        <v>208</v>
      </c>
      <c r="D489" s="7">
        <v>21.37</v>
      </c>
      <c r="E489" s="111" t="s">
        <v>208</v>
      </c>
      <c r="F489" s="111" t="s">
        <v>208</v>
      </c>
      <c r="G489" s="111"/>
      <c r="H489" s="148" t="s">
        <v>59</v>
      </c>
      <c r="I489" s="148" t="s">
        <v>27</v>
      </c>
      <c r="J489" s="148" t="s">
        <v>209</v>
      </c>
      <c r="K489" s="148" t="s">
        <v>5</v>
      </c>
      <c r="L489" s="111" t="s">
        <v>227</v>
      </c>
      <c r="M489" s="148" t="s">
        <v>220</v>
      </c>
      <c r="N489" s="111" t="s">
        <v>221</v>
      </c>
      <c r="O489" s="148" t="s">
        <v>220</v>
      </c>
      <c r="P489" s="111" t="s">
        <v>221</v>
      </c>
      <c r="Q489" s="139" t="s">
        <v>5</v>
      </c>
      <c r="R489" s="139"/>
    </row>
    <row r="490" spans="1:18" x14ac:dyDescent="0.2">
      <c r="A490" s="147"/>
      <c r="B490" s="111">
        <v>0</v>
      </c>
      <c r="C490" s="7">
        <v>0</v>
      </c>
      <c r="D490" s="7">
        <v>21.37</v>
      </c>
      <c r="E490" s="7">
        <v>0</v>
      </c>
      <c r="F490" s="7">
        <v>0</v>
      </c>
      <c r="H490" s="138">
        <f>0.3*0.6*D490</f>
        <v>3.8466</v>
      </c>
      <c r="I490" s="138">
        <f>D490</f>
        <v>21.37</v>
      </c>
      <c r="J490" s="138">
        <f>B490*C490*D490</f>
        <v>0</v>
      </c>
      <c r="K490" s="138">
        <f>C490*2*D490</f>
        <v>0</v>
      </c>
      <c r="L490" s="140">
        <v>2</v>
      </c>
      <c r="M490" s="141">
        <f>D490*L490*3.28*0.668/2000</f>
        <v>4.6822524799999994E-2</v>
      </c>
      <c r="N490" s="142">
        <f>D490/0.4+1</f>
        <v>54.424999999999997</v>
      </c>
      <c r="O490" s="141">
        <f>G490*N490*3.28*0.668/2000</f>
        <v>0</v>
      </c>
      <c r="P490" s="142">
        <f>G490/0.4+1</f>
        <v>1</v>
      </c>
      <c r="Q490" s="139">
        <f>D490*0.55</f>
        <v>11.753500000000001</v>
      </c>
      <c r="R490" s="139"/>
    </row>
    <row r="491" spans="1:18" x14ac:dyDescent="0.2">
      <c r="A491" s="147"/>
      <c r="D491" s="150"/>
      <c r="E491" s="150" t="s">
        <v>228</v>
      </c>
      <c r="F491" s="150" t="s">
        <v>228</v>
      </c>
      <c r="G491" s="150"/>
      <c r="H491" s="150">
        <f>H486+H482</f>
        <v>245.808425</v>
      </c>
      <c r="I491" s="150">
        <f>I486+I482</f>
        <v>208.1438</v>
      </c>
      <c r="J491" s="150">
        <f>J490+J486+J482</f>
        <v>37.664625000000001</v>
      </c>
      <c r="K491" s="150">
        <f>K490+K486+K482</f>
        <v>183.78200000000001</v>
      </c>
      <c r="L491" s="151" t="s">
        <v>229</v>
      </c>
      <c r="M491" s="152" t="e">
        <f>#REF!+M486+#REF!+M490+#REF!</f>
        <v>#REF!</v>
      </c>
      <c r="N491" s="153" t="s">
        <v>230</v>
      </c>
      <c r="O491" s="152" t="e">
        <f>#REF!+O486+#REF!+O490+#REF!</f>
        <v>#REF!</v>
      </c>
      <c r="P491" s="153" t="s">
        <v>230</v>
      </c>
      <c r="Q491" s="139"/>
      <c r="R491" s="139"/>
    </row>
    <row r="492" spans="1:18" x14ac:dyDescent="0.2">
      <c r="A492" s="137"/>
    </row>
  </sheetData>
  <mergeCells count="88">
    <mergeCell ref="H4:H7"/>
    <mergeCell ref="I4:I7"/>
    <mergeCell ref="A8:A11"/>
    <mergeCell ref="C8:C11"/>
    <mergeCell ref="D8:D11"/>
    <mergeCell ref="E8:E11"/>
    <mergeCell ref="F8:F11"/>
    <mergeCell ref="G8:G11"/>
    <mergeCell ref="H8:H11"/>
    <mergeCell ref="I8:I11"/>
    <mergeCell ref="A4:A7"/>
    <mergeCell ref="C4:C7"/>
    <mergeCell ref="D4:D7"/>
    <mergeCell ref="E4:E7"/>
    <mergeCell ref="F4:F7"/>
    <mergeCell ref="G4:G7"/>
    <mergeCell ref="H12:H15"/>
    <mergeCell ref="I12:I15"/>
    <mergeCell ref="A16:A19"/>
    <mergeCell ref="C16:C19"/>
    <mergeCell ref="D16:D19"/>
    <mergeCell ref="E16:E19"/>
    <mergeCell ref="F16:F19"/>
    <mergeCell ref="G16:G19"/>
    <mergeCell ref="H16:H19"/>
    <mergeCell ref="I16:I19"/>
    <mergeCell ref="A12:A15"/>
    <mergeCell ref="C12:C15"/>
    <mergeCell ref="D12:D15"/>
    <mergeCell ref="E12:E15"/>
    <mergeCell ref="F12:F15"/>
    <mergeCell ref="G12:G15"/>
    <mergeCell ref="H20:H23"/>
    <mergeCell ref="I20:I23"/>
    <mergeCell ref="A24:A27"/>
    <mergeCell ref="C24:C27"/>
    <mergeCell ref="D24:D27"/>
    <mergeCell ref="E24:E27"/>
    <mergeCell ref="F24:F27"/>
    <mergeCell ref="G24:G27"/>
    <mergeCell ref="H24:H27"/>
    <mergeCell ref="I24:I27"/>
    <mergeCell ref="A20:A23"/>
    <mergeCell ref="C20:C23"/>
    <mergeCell ref="D20:D23"/>
    <mergeCell ref="E20:E23"/>
    <mergeCell ref="F20:F23"/>
    <mergeCell ref="G20:G23"/>
    <mergeCell ref="H28:H31"/>
    <mergeCell ref="I28:I31"/>
    <mergeCell ref="A32:A35"/>
    <mergeCell ref="C32:C35"/>
    <mergeCell ref="D32:D35"/>
    <mergeCell ref="E32:E35"/>
    <mergeCell ref="F32:F35"/>
    <mergeCell ref="G32:G35"/>
    <mergeCell ref="H32:H35"/>
    <mergeCell ref="I32:I35"/>
    <mergeCell ref="A28:A31"/>
    <mergeCell ref="C28:C31"/>
    <mergeCell ref="D28:D31"/>
    <mergeCell ref="E28:E31"/>
    <mergeCell ref="F28:F31"/>
    <mergeCell ref="G28:G31"/>
    <mergeCell ref="H36:H39"/>
    <mergeCell ref="I36:I39"/>
    <mergeCell ref="A40:A43"/>
    <mergeCell ref="C40:C43"/>
    <mergeCell ref="D40:D43"/>
    <mergeCell ref="E40:E43"/>
    <mergeCell ref="F40:F43"/>
    <mergeCell ref="G40:G43"/>
    <mergeCell ref="H40:H43"/>
    <mergeCell ref="I40:I43"/>
    <mergeCell ref="A36:A39"/>
    <mergeCell ref="C36:C39"/>
    <mergeCell ref="D36:D39"/>
    <mergeCell ref="E36:E39"/>
    <mergeCell ref="F36:F39"/>
    <mergeCell ref="G36:G39"/>
    <mergeCell ref="H44:H47"/>
    <mergeCell ref="I44:I47"/>
    <mergeCell ref="A44:A47"/>
    <mergeCell ref="C44:C47"/>
    <mergeCell ref="D44:D47"/>
    <mergeCell ref="E44:E47"/>
    <mergeCell ref="F44:F47"/>
    <mergeCell ref="G44:G47"/>
  </mergeCells>
  <pageMargins left="0.75" right="0.75" top="1" bottom="1" header="0" footer="0"/>
  <pageSetup paperSize="9"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C85F4-B96E-4A80-A8EA-1392B9212FCC}">
  <sheetPr codeName="Sheet4"/>
  <dimension ref="A1:AJ177"/>
  <sheetViews>
    <sheetView zoomScale="78" zoomScaleNormal="78" workbookViewId="0">
      <pane ySplit="4" topLeftCell="A5" activePane="bottomLeft" state="frozen"/>
      <selection pane="bottomLeft" activeCell="A178" sqref="A178:IV520"/>
    </sheetView>
  </sheetViews>
  <sheetFormatPr defaultColWidth="11.42578125" defaultRowHeight="12.75" x14ac:dyDescent="0.2"/>
  <cols>
    <col min="1" max="1" width="31.85546875" style="7" customWidth="1"/>
    <col min="2" max="2" width="10.85546875" style="7" customWidth="1"/>
    <col min="3" max="4" width="9.42578125" style="7" customWidth="1"/>
    <col min="5" max="6" width="8.42578125" style="7" customWidth="1"/>
    <col min="7" max="7" width="16.42578125" style="7" bestFit="1" customWidth="1"/>
    <col min="8" max="8" width="17" style="7" customWidth="1"/>
    <col min="9" max="9" width="15.42578125" style="7" bestFit="1" customWidth="1"/>
    <col min="10" max="10" width="14.42578125" style="7" bestFit="1" customWidth="1"/>
    <col min="11" max="11" width="10.7109375" style="7" customWidth="1"/>
    <col min="12" max="12" width="10.28515625" style="7" customWidth="1"/>
    <col min="13" max="13" width="10.5703125" style="7" customWidth="1"/>
    <col min="14" max="16" width="13.28515625" style="7" bestFit="1" customWidth="1"/>
    <col min="17" max="18" width="12.7109375" style="7" customWidth="1"/>
    <col min="19" max="19" width="18.85546875" style="7" customWidth="1"/>
    <col min="20" max="256" width="11.42578125" style="7"/>
    <col min="257" max="257" width="31.85546875" style="7" customWidth="1"/>
    <col min="258" max="258" width="10.85546875" style="7" customWidth="1"/>
    <col min="259" max="260" width="9.42578125" style="7" customWidth="1"/>
    <col min="261" max="262" width="8.42578125" style="7" customWidth="1"/>
    <col min="263" max="263" width="16.42578125" style="7" bestFit="1" customWidth="1"/>
    <col min="264" max="264" width="17" style="7" customWidth="1"/>
    <col min="265" max="265" width="15.42578125" style="7" bestFit="1" customWidth="1"/>
    <col min="266" max="266" width="14.42578125" style="7" bestFit="1" customWidth="1"/>
    <col min="267" max="267" width="10.7109375" style="7" customWidth="1"/>
    <col min="268" max="268" width="10.28515625" style="7" customWidth="1"/>
    <col min="269" max="269" width="10.5703125" style="7" customWidth="1"/>
    <col min="270" max="272" width="13.28515625" style="7" bestFit="1" customWidth="1"/>
    <col min="273" max="274" width="12.7109375" style="7" customWidth="1"/>
    <col min="275" max="275" width="18.85546875" style="7" customWidth="1"/>
    <col min="276" max="512" width="11.42578125" style="7"/>
    <col min="513" max="513" width="31.85546875" style="7" customWidth="1"/>
    <col min="514" max="514" width="10.85546875" style="7" customWidth="1"/>
    <col min="515" max="516" width="9.42578125" style="7" customWidth="1"/>
    <col min="517" max="518" width="8.42578125" style="7" customWidth="1"/>
    <col min="519" max="519" width="16.42578125" style="7" bestFit="1" customWidth="1"/>
    <col min="520" max="520" width="17" style="7" customWidth="1"/>
    <col min="521" max="521" width="15.42578125" style="7" bestFit="1" customWidth="1"/>
    <col min="522" max="522" width="14.42578125" style="7" bestFit="1" customWidth="1"/>
    <col min="523" max="523" width="10.7109375" style="7" customWidth="1"/>
    <col min="524" max="524" width="10.28515625" style="7" customWidth="1"/>
    <col min="525" max="525" width="10.5703125" style="7" customWidth="1"/>
    <col min="526" max="528" width="13.28515625" style="7" bestFit="1" customWidth="1"/>
    <col min="529" max="530" width="12.7109375" style="7" customWidth="1"/>
    <col min="531" max="531" width="18.85546875" style="7" customWidth="1"/>
    <col min="532" max="768" width="11.42578125" style="7"/>
    <col min="769" max="769" width="31.85546875" style="7" customWidth="1"/>
    <col min="770" max="770" width="10.85546875" style="7" customWidth="1"/>
    <col min="771" max="772" width="9.42578125" style="7" customWidth="1"/>
    <col min="773" max="774" width="8.42578125" style="7" customWidth="1"/>
    <col min="775" max="775" width="16.42578125" style="7" bestFit="1" customWidth="1"/>
    <col min="776" max="776" width="17" style="7" customWidth="1"/>
    <col min="777" max="777" width="15.42578125" style="7" bestFit="1" customWidth="1"/>
    <col min="778" max="778" width="14.42578125" style="7" bestFit="1" customWidth="1"/>
    <col min="779" max="779" width="10.7109375" style="7" customWidth="1"/>
    <col min="780" max="780" width="10.28515625" style="7" customWidth="1"/>
    <col min="781" max="781" width="10.5703125" style="7" customWidth="1"/>
    <col min="782" max="784" width="13.28515625" style="7" bestFit="1" customWidth="1"/>
    <col min="785" max="786" width="12.7109375" style="7" customWidth="1"/>
    <col min="787" max="787" width="18.85546875" style="7" customWidth="1"/>
    <col min="788" max="1024" width="11.42578125" style="7"/>
    <col min="1025" max="1025" width="31.85546875" style="7" customWidth="1"/>
    <col min="1026" max="1026" width="10.85546875" style="7" customWidth="1"/>
    <col min="1027" max="1028" width="9.42578125" style="7" customWidth="1"/>
    <col min="1029" max="1030" width="8.42578125" style="7" customWidth="1"/>
    <col min="1031" max="1031" width="16.42578125" style="7" bestFit="1" customWidth="1"/>
    <col min="1032" max="1032" width="17" style="7" customWidth="1"/>
    <col min="1033" max="1033" width="15.42578125" style="7" bestFit="1" customWidth="1"/>
    <col min="1034" max="1034" width="14.42578125" style="7" bestFit="1" customWidth="1"/>
    <col min="1035" max="1035" width="10.7109375" style="7" customWidth="1"/>
    <col min="1036" max="1036" width="10.28515625" style="7" customWidth="1"/>
    <col min="1037" max="1037" width="10.5703125" style="7" customWidth="1"/>
    <col min="1038" max="1040" width="13.28515625" style="7" bestFit="1" customWidth="1"/>
    <col min="1041" max="1042" width="12.7109375" style="7" customWidth="1"/>
    <col min="1043" max="1043" width="18.85546875" style="7" customWidth="1"/>
    <col min="1044" max="1280" width="11.42578125" style="7"/>
    <col min="1281" max="1281" width="31.85546875" style="7" customWidth="1"/>
    <col min="1282" max="1282" width="10.85546875" style="7" customWidth="1"/>
    <col min="1283" max="1284" width="9.42578125" style="7" customWidth="1"/>
    <col min="1285" max="1286" width="8.42578125" style="7" customWidth="1"/>
    <col min="1287" max="1287" width="16.42578125" style="7" bestFit="1" customWidth="1"/>
    <col min="1288" max="1288" width="17" style="7" customWidth="1"/>
    <col min="1289" max="1289" width="15.42578125" style="7" bestFit="1" customWidth="1"/>
    <col min="1290" max="1290" width="14.42578125" style="7" bestFit="1" customWidth="1"/>
    <col min="1291" max="1291" width="10.7109375" style="7" customWidth="1"/>
    <col min="1292" max="1292" width="10.28515625" style="7" customWidth="1"/>
    <col min="1293" max="1293" width="10.5703125" style="7" customWidth="1"/>
    <col min="1294" max="1296" width="13.28515625" style="7" bestFit="1" customWidth="1"/>
    <col min="1297" max="1298" width="12.7109375" style="7" customWidth="1"/>
    <col min="1299" max="1299" width="18.85546875" style="7" customWidth="1"/>
    <col min="1300" max="1536" width="11.42578125" style="7"/>
    <col min="1537" max="1537" width="31.85546875" style="7" customWidth="1"/>
    <col min="1538" max="1538" width="10.85546875" style="7" customWidth="1"/>
    <col min="1539" max="1540" width="9.42578125" style="7" customWidth="1"/>
    <col min="1541" max="1542" width="8.42578125" style="7" customWidth="1"/>
    <col min="1543" max="1543" width="16.42578125" style="7" bestFit="1" customWidth="1"/>
    <col min="1544" max="1544" width="17" style="7" customWidth="1"/>
    <col min="1545" max="1545" width="15.42578125" style="7" bestFit="1" customWidth="1"/>
    <col min="1546" max="1546" width="14.42578125" style="7" bestFit="1" customWidth="1"/>
    <col min="1547" max="1547" width="10.7109375" style="7" customWidth="1"/>
    <col min="1548" max="1548" width="10.28515625" style="7" customWidth="1"/>
    <col min="1549" max="1549" width="10.5703125" style="7" customWidth="1"/>
    <col min="1550" max="1552" width="13.28515625" style="7" bestFit="1" customWidth="1"/>
    <col min="1553" max="1554" width="12.7109375" style="7" customWidth="1"/>
    <col min="1555" max="1555" width="18.85546875" style="7" customWidth="1"/>
    <col min="1556" max="1792" width="11.42578125" style="7"/>
    <col min="1793" max="1793" width="31.85546875" style="7" customWidth="1"/>
    <col min="1794" max="1794" width="10.85546875" style="7" customWidth="1"/>
    <col min="1795" max="1796" width="9.42578125" style="7" customWidth="1"/>
    <col min="1797" max="1798" width="8.42578125" style="7" customWidth="1"/>
    <col min="1799" max="1799" width="16.42578125" style="7" bestFit="1" customWidth="1"/>
    <col min="1800" max="1800" width="17" style="7" customWidth="1"/>
    <col min="1801" max="1801" width="15.42578125" style="7" bestFit="1" customWidth="1"/>
    <col min="1802" max="1802" width="14.42578125" style="7" bestFit="1" customWidth="1"/>
    <col min="1803" max="1803" width="10.7109375" style="7" customWidth="1"/>
    <col min="1804" max="1804" width="10.28515625" style="7" customWidth="1"/>
    <col min="1805" max="1805" width="10.5703125" style="7" customWidth="1"/>
    <col min="1806" max="1808" width="13.28515625" style="7" bestFit="1" customWidth="1"/>
    <col min="1809" max="1810" width="12.7109375" style="7" customWidth="1"/>
    <col min="1811" max="1811" width="18.85546875" style="7" customWidth="1"/>
    <col min="1812" max="2048" width="11.42578125" style="7"/>
    <col min="2049" max="2049" width="31.85546875" style="7" customWidth="1"/>
    <col min="2050" max="2050" width="10.85546875" style="7" customWidth="1"/>
    <col min="2051" max="2052" width="9.42578125" style="7" customWidth="1"/>
    <col min="2053" max="2054" width="8.42578125" style="7" customWidth="1"/>
    <col min="2055" max="2055" width="16.42578125" style="7" bestFit="1" customWidth="1"/>
    <col min="2056" max="2056" width="17" style="7" customWidth="1"/>
    <col min="2057" max="2057" width="15.42578125" style="7" bestFit="1" customWidth="1"/>
    <col min="2058" max="2058" width="14.42578125" style="7" bestFit="1" customWidth="1"/>
    <col min="2059" max="2059" width="10.7109375" style="7" customWidth="1"/>
    <col min="2060" max="2060" width="10.28515625" style="7" customWidth="1"/>
    <col min="2061" max="2061" width="10.5703125" style="7" customWidth="1"/>
    <col min="2062" max="2064" width="13.28515625" style="7" bestFit="1" customWidth="1"/>
    <col min="2065" max="2066" width="12.7109375" style="7" customWidth="1"/>
    <col min="2067" max="2067" width="18.85546875" style="7" customWidth="1"/>
    <col min="2068" max="2304" width="11.42578125" style="7"/>
    <col min="2305" max="2305" width="31.85546875" style="7" customWidth="1"/>
    <col min="2306" max="2306" width="10.85546875" style="7" customWidth="1"/>
    <col min="2307" max="2308" width="9.42578125" style="7" customWidth="1"/>
    <col min="2309" max="2310" width="8.42578125" style="7" customWidth="1"/>
    <col min="2311" max="2311" width="16.42578125" style="7" bestFit="1" customWidth="1"/>
    <col min="2312" max="2312" width="17" style="7" customWidth="1"/>
    <col min="2313" max="2313" width="15.42578125" style="7" bestFit="1" customWidth="1"/>
    <col min="2314" max="2314" width="14.42578125" style="7" bestFit="1" customWidth="1"/>
    <col min="2315" max="2315" width="10.7109375" style="7" customWidth="1"/>
    <col min="2316" max="2316" width="10.28515625" style="7" customWidth="1"/>
    <col min="2317" max="2317" width="10.5703125" style="7" customWidth="1"/>
    <col min="2318" max="2320" width="13.28515625" style="7" bestFit="1" customWidth="1"/>
    <col min="2321" max="2322" width="12.7109375" style="7" customWidth="1"/>
    <col min="2323" max="2323" width="18.85546875" style="7" customWidth="1"/>
    <col min="2324" max="2560" width="11.42578125" style="7"/>
    <col min="2561" max="2561" width="31.85546875" style="7" customWidth="1"/>
    <col min="2562" max="2562" width="10.85546875" style="7" customWidth="1"/>
    <col min="2563" max="2564" width="9.42578125" style="7" customWidth="1"/>
    <col min="2565" max="2566" width="8.42578125" style="7" customWidth="1"/>
    <col min="2567" max="2567" width="16.42578125" style="7" bestFit="1" customWidth="1"/>
    <col min="2568" max="2568" width="17" style="7" customWidth="1"/>
    <col min="2569" max="2569" width="15.42578125" style="7" bestFit="1" customWidth="1"/>
    <col min="2570" max="2570" width="14.42578125" style="7" bestFit="1" customWidth="1"/>
    <col min="2571" max="2571" width="10.7109375" style="7" customWidth="1"/>
    <col min="2572" max="2572" width="10.28515625" style="7" customWidth="1"/>
    <col min="2573" max="2573" width="10.5703125" style="7" customWidth="1"/>
    <col min="2574" max="2576" width="13.28515625" style="7" bestFit="1" customWidth="1"/>
    <col min="2577" max="2578" width="12.7109375" style="7" customWidth="1"/>
    <col min="2579" max="2579" width="18.85546875" style="7" customWidth="1"/>
    <col min="2580" max="2816" width="11.42578125" style="7"/>
    <col min="2817" max="2817" width="31.85546875" style="7" customWidth="1"/>
    <col min="2818" max="2818" width="10.85546875" style="7" customWidth="1"/>
    <col min="2819" max="2820" width="9.42578125" style="7" customWidth="1"/>
    <col min="2821" max="2822" width="8.42578125" style="7" customWidth="1"/>
    <col min="2823" max="2823" width="16.42578125" style="7" bestFit="1" customWidth="1"/>
    <col min="2824" max="2824" width="17" style="7" customWidth="1"/>
    <col min="2825" max="2825" width="15.42578125" style="7" bestFit="1" customWidth="1"/>
    <col min="2826" max="2826" width="14.42578125" style="7" bestFit="1" customWidth="1"/>
    <col min="2827" max="2827" width="10.7109375" style="7" customWidth="1"/>
    <col min="2828" max="2828" width="10.28515625" style="7" customWidth="1"/>
    <col min="2829" max="2829" width="10.5703125" style="7" customWidth="1"/>
    <col min="2830" max="2832" width="13.28515625" style="7" bestFit="1" customWidth="1"/>
    <col min="2833" max="2834" width="12.7109375" style="7" customWidth="1"/>
    <col min="2835" max="2835" width="18.85546875" style="7" customWidth="1"/>
    <col min="2836" max="3072" width="11.42578125" style="7"/>
    <col min="3073" max="3073" width="31.85546875" style="7" customWidth="1"/>
    <col min="3074" max="3074" width="10.85546875" style="7" customWidth="1"/>
    <col min="3075" max="3076" width="9.42578125" style="7" customWidth="1"/>
    <col min="3077" max="3078" width="8.42578125" style="7" customWidth="1"/>
    <col min="3079" max="3079" width="16.42578125" style="7" bestFit="1" customWidth="1"/>
    <col min="3080" max="3080" width="17" style="7" customWidth="1"/>
    <col min="3081" max="3081" width="15.42578125" style="7" bestFit="1" customWidth="1"/>
    <col min="3082" max="3082" width="14.42578125" style="7" bestFit="1" customWidth="1"/>
    <col min="3083" max="3083" width="10.7109375" style="7" customWidth="1"/>
    <col min="3084" max="3084" width="10.28515625" style="7" customWidth="1"/>
    <col min="3085" max="3085" width="10.5703125" style="7" customWidth="1"/>
    <col min="3086" max="3088" width="13.28515625" style="7" bestFit="1" customWidth="1"/>
    <col min="3089" max="3090" width="12.7109375" style="7" customWidth="1"/>
    <col min="3091" max="3091" width="18.85546875" style="7" customWidth="1"/>
    <col min="3092" max="3328" width="11.42578125" style="7"/>
    <col min="3329" max="3329" width="31.85546875" style="7" customWidth="1"/>
    <col min="3330" max="3330" width="10.85546875" style="7" customWidth="1"/>
    <col min="3331" max="3332" width="9.42578125" style="7" customWidth="1"/>
    <col min="3333" max="3334" width="8.42578125" style="7" customWidth="1"/>
    <col min="3335" max="3335" width="16.42578125" style="7" bestFit="1" customWidth="1"/>
    <col min="3336" max="3336" width="17" style="7" customWidth="1"/>
    <col min="3337" max="3337" width="15.42578125" style="7" bestFit="1" customWidth="1"/>
    <col min="3338" max="3338" width="14.42578125" style="7" bestFit="1" customWidth="1"/>
    <col min="3339" max="3339" width="10.7109375" style="7" customWidth="1"/>
    <col min="3340" max="3340" width="10.28515625" style="7" customWidth="1"/>
    <col min="3341" max="3341" width="10.5703125" style="7" customWidth="1"/>
    <col min="3342" max="3344" width="13.28515625" style="7" bestFit="1" customWidth="1"/>
    <col min="3345" max="3346" width="12.7109375" style="7" customWidth="1"/>
    <col min="3347" max="3347" width="18.85546875" style="7" customWidth="1"/>
    <col min="3348" max="3584" width="11.42578125" style="7"/>
    <col min="3585" max="3585" width="31.85546875" style="7" customWidth="1"/>
    <col min="3586" max="3586" width="10.85546875" style="7" customWidth="1"/>
    <col min="3587" max="3588" width="9.42578125" style="7" customWidth="1"/>
    <col min="3589" max="3590" width="8.42578125" style="7" customWidth="1"/>
    <col min="3591" max="3591" width="16.42578125" style="7" bestFit="1" customWidth="1"/>
    <col min="3592" max="3592" width="17" style="7" customWidth="1"/>
    <col min="3593" max="3593" width="15.42578125" style="7" bestFit="1" customWidth="1"/>
    <col min="3594" max="3594" width="14.42578125" style="7" bestFit="1" customWidth="1"/>
    <col min="3595" max="3595" width="10.7109375" style="7" customWidth="1"/>
    <col min="3596" max="3596" width="10.28515625" style="7" customWidth="1"/>
    <col min="3597" max="3597" width="10.5703125" style="7" customWidth="1"/>
    <col min="3598" max="3600" width="13.28515625" style="7" bestFit="1" customWidth="1"/>
    <col min="3601" max="3602" width="12.7109375" style="7" customWidth="1"/>
    <col min="3603" max="3603" width="18.85546875" style="7" customWidth="1"/>
    <col min="3604" max="3840" width="11.42578125" style="7"/>
    <col min="3841" max="3841" width="31.85546875" style="7" customWidth="1"/>
    <col min="3842" max="3842" width="10.85546875" style="7" customWidth="1"/>
    <col min="3843" max="3844" width="9.42578125" style="7" customWidth="1"/>
    <col min="3845" max="3846" width="8.42578125" style="7" customWidth="1"/>
    <col min="3847" max="3847" width="16.42578125" style="7" bestFit="1" customWidth="1"/>
    <col min="3848" max="3848" width="17" style="7" customWidth="1"/>
    <col min="3849" max="3849" width="15.42578125" style="7" bestFit="1" customWidth="1"/>
    <col min="3850" max="3850" width="14.42578125" style="7" bestFit="1" customWidth="1"/>
    <col min="3851" max="3851" width="10.7109375" style="7" customWidth="1"/>
    <col min="3852" max="3852" width="10.28515625" style="7" customWidth="1"/>
    <col min="3853" max="3853" width="10.5703125" style="7" customWidth="1"/>
    <col min="3854" max="3856" width="13.28515625" style="7" bestFit="1" customWidth="1"/>
    <col min="3857" max="3858" width="12.7109375" style="7" customWidth="1"/>
    <col min="3859" max="3859" width="18.85546875" style="7" customWidth="1"/>
    <col min="3860" max="4096" width="11.42578125" style="7"/>
    <col min="4097" max="4097" width="31.85546875" style="7" customWidth="1"/>
    <col min="4098" max="4098" width="10.85546875" style="7" customWidth="1"/>
    <col min="4099" max="4100" width="9.42578125" style="7" customWidth="1"/>
    <col min="4101" max="4102" width="8.42578125" style="7" customWidth="1"/>
    <col min="4103" max="4103" width="16.42578125" style="7" bestFit="1" customWidth="1"/>
    <col min="4104" max="4104" width="17" style="7" customWidth="1"/>
    <col min="4105" max="4105" width="15.42578125" style="7" bestFit="1" customWidth="1"/>
    <col min="4106" max="4106" width="14.42578125" style="7" bestFit="1" customWidth="1"/>
    <col min="4107" max="4107" width="10.7109375" style="7" customWidth="1"/>
    <col min="4108" max="4108" width="10.28515625" style="7" customWidth="1"/>
    <col min="4109" max="4109" width="10.5703125" style="7" customWidth="1"/>
    <col min="4110" max="4112" width="13.28515625" style="7" bestFit="1" customWidth="1"/>
    <col min="4113" max="4114" width="12.7109375" style="7" customWidth="1"/>
    <col min="4115" max="4115" width="18.85546875" style="7" customWidth="1"/>
    <col min="4116" max="4352" width="11.42578125" style="7"/>
    <col min="4353" max="4353" width="31.85546875" style="7" customWidth="1"/>
    <col min="4354" max="4354" width="10.85546875" style="7" customWidth="1"/>
    <col min="4355" max="4356" width="9.42578125" style="7" customWidth="1"/>
    <col min="4357" max="4358" width="8.42578125" style="7" customWidth="1"/>
    <col min="4359" max="4359" width="16.42578125" style="7" bestFit="1" customWidth="1"/>
    <col min="4360" max="4360" width="17" style="7" customWidth="1"/>
    <col min="4361" max="4361" width="15.42578125" style="7" bestFit="1" customWidth="1"/>
    <col min="4362" max="4362" width="14.42578125" style="7" bestFit="1" customWidth="1"/>
    <col min="4363" max="4363" width="10.7109375" style="7" customWidth="1"/>
    <col min="4364" max="4364" width="10.28515625" style="7" customWidth="1"/>
    <col min="4365" max="4365" width="10.5703125" style="7" customWidth="1"/>
    <col min="4366" max="4368" width="13.28515625" style="7" bestFit="1" customWidth="1"/>
    <col min="4369" max="4370" width="12.7109375" style="7" customWidth="1"/>
    <col min="4371" max="4371" width="18.85546875" style="7" customWidth="1"/>
    <col min="4372" max="4608" width="11.42578125" style="7"/>
    <col min="4609" max="4609" width="31.85546875" style="7" customWidth="1"/>
    <col min="4610" max="4610" width="10.85546875" style="7" customWidth="1"/>
    <col min="4611" max="4612" width="9.42578125" style="7" customWidth="1"/>
    <col min="4613" max="4614" width="8.42578125" style="7" customWidth="1"/>
    <col min="4615" max="4615" width="16.42578125" style="7" bestFit="1" customWidth="1"/>
    <col min="4616" max="4616" width="17" style="7" customWidth="1"/>
    <col min="4617" max="4617" width="15.42578125" style="7" bestFit="1" customWidth="1"/>
    <col min="4618" max="4618" width="14.42578125" style="7" bestFit="1" customWidth="1"/>
    <col min="4619" max="4619" width="10.7109375" style="7" customWidth="1"/>
    <col min="4620" max="4620" width="10.28515625" style="7" customWidth="1"/>
    <col min="4621" max="4621" width="10.5703125" style="7" customWidth="1"/>
    <col min="4622" max="4624" width="13.28515625" style="7" bestFit="1" customWidth="1"/>
    <col min="4625" max="4626" width="12.7109375" style="7" customWidth="1"/>
    <col min="4627" max="4627" width="18.85546875" style="7" customWidth="1"/>
    <col min="4628" max="4864" width="11.42578125" style="7"/>
    <col min="4865" max="4865" width="31.85546875" style="7" customWidth="1"/>
    <col min="4866" max="4866" width="10.85546875" style="7" customWidth="1"/>
    <col min="4867" max="4868" width="9.42578125" style="7" customWidth="1"/>
    <col min="4869" max="4870" width="8.42578125" style="7" customWidth="1"/>
    <col min="4871" max="4871" width="16.42578125" style="7" bestFit="1" customWidth="1"/>
    <col min="4872" max="4872" width="17" style="7" customWidth="1"/>
    <col min="4873" max="4873" width="15.42578125" style="7" bestFit="1" customWidth="1"/>
    <col min="4874" max="4874" width="14.42578125" style="7" bestFit="1" customWidth="1"/>
    <col min="4875" max="4875" width="10.7109375" style="7" customWidth="1"/>
    <col min="4876" max="4876" width="10.28515625" style="7" customWidth="1"/>
    <col min="4877" max="4877" width="10.5703125" style="7" customWidth="1"/>
    <col min="4878" max="4880" width="13.28515625" style="7" bestFit="1" customWidth="1"/>
    <col min="4881" max="4882" width="12.7109375" style="7" customWidth="1"/>
    <col min="4883" max="4883" width="18.85546875" style="7" customWidth="1"/>
    <col min="4884" max="5120" width="11.42578125" style="7"/>
    <col min="5121" max="5121" width="31.85546875" style="7" customWidth="1"/>
    <col min="5122" max="5122" width="10.85546875" style="7" customWidth="1"/>
    <col min="5123" max="5124" width="9.42578125" style="7" customWidth="1"/>
    <col min="5125" max="5126" width="8.42578125" style="7" customWidth="1"/>
    <col min="5127" max="5127" width="16.42578125" style="7" bestFit="1" customWidth="1"/>
    <col min="5128" max="5128" width="17" style="7" customWidth="1"/>
    <col min="5129" max="5129" width="15.42578125" style="7" bestFit="1" customWidth="1"/>
    <col min="5130" max="5130" width="14.42578125" style="7" bestFit="1" customWidth="1"/>
    <col min="5131" max="5131" width="10.7109375" style="7" customWidth="1"/>
    <col min="5132" max="5132" width="10.28515625" style="7" customWidth="1"/>
    <col min="5133" max="5133" width="10.5703125" style="7" customWidth="1"/>
    <col min="5134" max="5136" width="13.28515625" style="7" bestFit="1" customWidth="1"/>
    <col min="5137" max="5138" width="12.7109375" style="7" customWidth="1"/>
    <col min="5139" max="5139" width="18.85546875" style="7" customWidth="1"/>
    <col min="5140" max="5376" width="11.42578125" style="7"/>
    <col min="5377" max="5377" width="31.85546875" style="7" customWidth="1"/>
    <col min="5378" max="5378" width="10.85546875" style="7" customWidth="1"/>
    <col min="5379" max="5380" width="9.42578125" style="7" customWidth="1"/>
    <col min="5381" max="5382" width="8.42578125" style="7" customWidth="1"/>
    <col min="5383" max="5383" width="16.42578125" style="7" bestFit="1" customWidth="1"/>
    <col min="5384" max="5384" width="17" style="7" customWidth="1"/>
    <col min="5385" max="5385" width="15.42578125" style="7" bestFit="1" customWidth="1"/>
    <col min="5386" max="5386" width="14.42578125" style="7" bestFit="1" customWidth="1"/>
    <col min="5387" max="5387" width="10.7109375" style="7" customWidth="1"/>
    <col min="5388" max="5388" width="10.28515625" style="7" customWidth="1"/>
    <col min="5389" max="5389" width="10.5703125" style="7" customWidth="1"/>
    <col min="5390" max="5392" width="13.28515625" style="7" bestFit="1" customWidth="1"/>
    <col min="5393" max="5394" width="12.7109375" style="7" customWidth="1"/>
    <col min="5395" max="5395" width="18.85546875" style="7" customWidth="1"/>
    <col min="5396" max="5632" width="11.42578125" style="7"/>
    <col min="5633" max="5633" width="31.85546875" style="7" customWidth="1"/>
    <col min="5634" max="5634" width="10.85546875" style="7" customWidth="1"/>
    <col min="5635" max="5636" width="9.42578125" style="7" customWidth="1"/>
    <col min="5637" max="5638" width="8.42578125" style="7" customWidth="1"/>
    <col min="5639" max="5639" width="16.42578125" style="7" bestFit="1" customWidth="1"/>
    <col min="5640" max="5640" width="17" style="7" customWidth="1"/>
    <col min="5641" max="5641" width="15.42578125" style="7" bestFit="1" customWidth="1"/>
    <col min="5642" max="5642" width="14.42578125" style="7" bestFit="1" customWidth="1"/>
    <col min="5643" max="5643" width="10.7109375" style="7" customWidth="1"/>
    <col min="5644" max="5644" width="10.28515625" style="7" customWidth="1"/>
    <col min="5645" max="5645" width="10.5703125" style="7" customWidth="1"/>
    <col min="5646" max="5648" width="13.28515625" style="7" bestFit="1" customWidth="1"/>
    <col min="5649" max="5650" width="12.7109375" style="7" customWidth="1"/>
    <col min="5651" max="5651" width="18.85546875" style="7" customWidth="1"/>
    <col min="5652" max="5888" width="11.42578125" style="7"/>
    <col min="5889" max="5889" width="31.85546875" style="7" customWidth="1"/>
    <col min="5890" max="5890" width="10.85546875" style="7" customWidth="1"/>
    <col min="5891" max="5892" width="9.42578125" style="7" customWidth="1"/>
    <col min="5893" max="5894" width="8.42578125" style="7" customWidth="1"/>
    <col min="5895" max="5895" width="16.42578125" style="7" bestFit="1" customWidth="1"/>
    <col min="5896" max="5896" width="17" style="7" customWidth="1"/>
    <col min="5897" max="5897" width="15.42578125" style="7" bestFit="1" customWidth="1"/>
    <col min="5898" max="5898" width="14.42578125" style="7" bestFit="1" customWidth="1"/>
    <col min="5899" max="5899" width="10.7109375" style="7" customWidth="1"/>
    <col min="5900" max="5900" width="10.28515625" style="7" customWidth="1"/>
    <col min="5901" max="5901" width="10.5703125" style="7" customWidth="1"/>
    <col min="5902" max="5904" width="13.28515625" style="7" bestFit="1" customWidth="1"/>
    <col min="5905" max="5906" width="12.7109375" style="7" customWidth="1"/>
    <col min="5907" max="5907" width="18.85546875" style="7" customWidth="1"/>
    <col min="5908" max="6144" width="11.42578125" style="7"/>
    <col min="6145" max="6145" width="31.85546875" style="7" customWidth="1"/>
    <col min="6146" max="6146" width="10.85546875" style="7" customWidth="1"/>
    <col min="6147" max="6148" width="9.42578125" style="7" customWidth="1"/>
    <col min="6149" max="6150" width="8.42578125" style="7" customWidth="1"/>
    <col min="6151" max="6151" width="16.42578125" style="7" bestFit="1" customWidth="1"/>
    <col min="6152" max="6152" width="17" style="7" customWidth="1"/>
    <col min="6153" max="6153" width="15.42578125" style="7" bestFit="1" customWidth="1"/>
    <col min="6154" max="6154" width="14.42578125" style="7" bestFit="1" customWidth="1"/>
    <col min="6155" max="6155" width="10.7109375" style="7" customWidth="1"/>
    <col min="6156" max="6156" width="10.28515625" style="7" customWidth="1"/>
    <col min="6157" max="6157" width="10.5703125" style="7" customWidth="1"/>
    <col min="6158" max="6160" width="13.28515625" style="7" bestFit="1" customWidth="1"/>
    <col min="6161" max="6162" width="12.7109375" style="7" customWidth="1"/>
    <col min="6163" max="6163" width="18.85546875" style="7" customWidth="1"/>
    <col min="6164" max="6400" width="11.42578125" style="7"/>
    <col min="6401" max="6401" width="31.85546875" style="7" customWidth="1"/>
    <col min="6402" max="6402" width="10.85546875" style="7" customWidth="1"/>
    <col min="6403" max="6404" width="9.42578125" style="7" customWidth="1"/>
    <col min="6405" max="6406" width="8.42578125" style="7" customWidth="1"/>
    <col min="6407" max="6407" width="16.42578125" style="7" bestFit="1" customWidth="1"/>
    <col min="6408" max="6408" width="17" style="7" customWidth="1"/>
    <col min="6409" max="6409" width="15.42578125" style="7" bestFit="1" customWidth="1"/>
    <col min="6410" max="6410" width="14.42578125" style="7" bestFit="1" customWidth="1"/>
    <col min="6411" max="6411" width="10.7109375" style="7" customWidth="1"/>
    <col min="6412" max="6412" width="10.28515625" style="7" customWidth="1"/>
    <col min="6413" max="6413" width="10.5703125" style="7" customWidth="1"/>
    <col min="6414" max="6416" width="13.28515625" style="7" bestFit="1" customWidth="1"/>
    <col min="6417" max="6418" width="12.7109375" style="7" customWidth="1"/>
    <col min="6419" max="6419" width="18.85546875" style="7" customWidth="1"/>
    <col min="6420" max="6656" width="11.42578125" style="7"/>
    <col min="6657" max="6657" width="31.85546875" style="7" customWidth="1"/>
    <col min="6658" max="6658" width="10.85546875" style="7" customWidth="1"/>
    <col min="6659" max="6660" width="9.42578125" style="7" customWidth="1"/>
    <col min="6661" max="6662" width="8.42578125" style="7" customWidth="1"/>
    <col min="6663" max="6663" width="16.42578125" style="7" bestFit="1" customWidth="1"/>
    <col min="6664" max="6664" width="17" style="7" customWidth="1"/>
    <col min="6665" max="6665" width="15.42578125" style="7" bestFit="1" customWidth="1"/>
    <col min="6666" max="6666" width="14.42578125" style="7" bestFit="1" customWidth="1"/>
    <col min="6667" max="6667" width="10.7109375" style="7" customWidth="1"/>
    <col min="6668" max="6668" width="10.28515625" style="7" customWidth="1"/>
    <col min="6669" max="6669" width="10.5703125" style="7" customWidth="1"/>
    <col min="6670" max="6672" width="13.28515625" style="7" bestFit="1" customWidth="1"/>
    <col min="6673" max="6674" width="12.7109375" style="7" customWidth="1"/>
    <col min="6675" max="6675" width="18.85546875" style="7" customWidth="1"/>
    <col min="6676" max="6912" width="11.42578125" style="7"/>
    <col min="6913" max="6913" width="31.85546875" style="7" customWidth="1"/>
    <col min="6914" max="6914" width="10.85546875" style="7" customWidth="1"/>
    <col min="6915" max="6916" width="9.42578125" style="7" customWidth="1"/>
    <col min="6917" max="6918" width="8.42578125" style="7" customWidth="1"/>
    <col min="6919" max="6919" width="16.42578125" style="7" bestFit="1" customWidth="1"/>
    <col min="6920" max="6920" width="17" style="7" customWidth="1"/>
    <col min="6921" max="6921" width="15.42578125" style="7" bestFit="1" customWidth="1"/>
    <col min="6922" max="6922" width="14.42578125" style="7" bestFit="1" customWidth="1"/>
    <col min="6923" max="6923" width="10.7109375" style="7" customWidth="1"/>
    <col min="6924" max="6924" width="10.28515625" style="7" customWidth="1"/>
    <col min="6925" max="6925" width="10.5703125" style="7" customWidth="1"/>
    <col min="6926" max="6928" width="13.28515625" style="7" bestFit="1" customWidth="1"/>
    <col min="6929" max="6930" width="12.7109375" style="7" customWidth="1"/>
    <col min="6931" max="6931" width="18.85546875" style="7" customWidth="1"/>
    <col min="6932" max="7168" width="11.42578125" style="7"/>
    <col min="7169" max="7169" width="31.85546875" style="7" customWidth="1"/>
    <col min="7170" max="7170" width="10.85546875" style="7" customWidth="1"/>
    <col min="7171" max="7172" width="9.42578125" style="7" customWidth="1"/>
    <col min="7173" max="7174" width="8.42578125" style="7" customWidth="1"/>
    <col min="7175" max="7175" width="16.42578125" style="7" bestFit="1" customWidth="1"/>
    <col min="7176" max="7176" width="17" style="7" customWidth="1"/>
    <col min="7177" max="7177" width="15.42578125" style="7" bestFit="1" customWidth="1"/>
    <col min="7178" max="7178" width="14.42578125" style="7" bestFit="1" customWidth="1"/>
    <col min="7179" max="7179" width="10.7109375" style="7" customWidth="1"/>
    <col min="7180" max="7180" width="10.28515625" style="7" customWidth="1"/>
    <col min="7181" max="7181" width="10.5703125" style="7" customWidth="1"/>
    <col min="7182" max="7184" width="13.28515625" style="7" bestFit="1" customWidth="1"/>
    <col min="7185" max="7186" width="12.7109375" style="7" customWidth="1"/>
    <col min="7187" max="7187" width="18.85546875" style="7" customWidth="1"/>
    <col min="7188" max="7424" width="11.42578125" style="7"/>
    <col min="7425" max="7425" width="31.85546875" style="7" customWidth="1"/>
    <col min="7426" max="7426" width="10.85546875" style="7" customWidth="1"/>
    <col min="7427" max="7428" width="9.42578125" style="7" customWidth="1"/>
    <col min="7429" max="7430" width="8.42578125" style="7" customWidth="1"/>
    <col min="7431" max="7431" width="16.42578125" style="7" bestFit="1" customWidth="1"/>
    <col min="7432" max="7432" width="17" style="7" customWidth="1"/>
    <col min="7433" max="7433" width="15.42578125" style="7" bestFit="1" customWidth="1"/>
    <col min="7434" max="7434" width="14.42578125" style="7" bestFit="1" customWidth="1"/>
    <col min="7435" max="7435" width="10.7109375" style="7" customWidth="1"/>
    <col min="7436" max="7436" width="10.28515625" style="7" customWidth="1"/>
    <col min="7437" max="7437" width="10.5703125" style="7" customWidth="1"/>
    <col min="7438" max="7440" width="13.28515625" style="7" bestFit="1" customWidth="1"/>
    <col min="7441" max="7442" width="12.7109375" style="7" customWidth="1"/>
    <col min="7443" max="7443" width="18.85546875" style="7" customWidth="1"/>
    <col min="7444" max="7680" width="11.42578125" style="7"/>
    <col min="7681" max="7681" width="31.85546875" style="7" customWidth="1"/>
    <col min="7682" max="7682" width="10.85546875" style="7" customWidth="1"/>
    <col min="7683" max="7684" width="9.42578125" style="7" customWidth="1"/>
    <col min="7685" max="7686" width="8.42578125" style="7" customWidth="1"/>
    <col min="7687" max="7687" width="16.42578125" style="7" bestFit="1" customWidth="1"/>
    <col min="7688" max="7688" width="17" style="7" customWidth="1"/>
    <col min="7689" max="7689" width="15.42578125" style="7" bestFit="1" customWidth="1"/>
    <col min="7690" max="7690" width="14.42578125" style="7" bestFit="1" customWidth="1"/>
    <col min="7691" max="7691" width="10.7109375" style="7" customWidth="1"/>
    <col min="7692" max="7692" width="10.28515625" style="7" customWidth="1"/>
    <col min="7693" max="7693" width="10.5703125" style="7" customWidth="1"/>
    <col min="7694" max="7696" width="13.28515625" style="7" bestFit="1" customWidth="1"/>
    <col min="7697" max="7698" width="12.7109375" style="7" customWidth="1"/>
    <col min="7699" max="7699" width="18.85546875" style="7" customWidth="1"/>
    <col min="7700" max="7936" width="11.42578125" style="7"/>
    <col min="7937" max="7937" width="31.85546875" style="7" customWidth="1"/>
    <col min="7938" max="7938" width="10.85546875" style="7" customWidth="1"/>
    <col min="7939" max="7940" width="9.42578125" style="7" customWidth="1"/>
    <col min="7941" max="7942" width="8.42578125" style="7" customWidth="1"/>
    <col min="7943" max="7943" width="16.42578125" style="7" bestFit="1" customWidth="1"/>
    <col min="7944" max="7944" width="17" style="7" customWidth="1"/>
    <col min="7945" max="7945" width="15.42578125" style="7" bestFit="1" customWidth="1"/>
    <col min="7946" max="7946" width="14.42578125" style="7" bestFit="1" customWidth="1"/>
    <col min="7947" max="7947" width="10.7109375" style="7" customWidth="1"/>
    <col min="7948" max="7948" width="10.28515625" style="7" customWidth="1"/>
    <col min="7949" max="7949" width="10.5703125" style="7" customWidth="1"/>
    <col min="7950" max="7952" width="13.28515625" style="7" bestFit="1" customWidth="1"/>
    <col min="7953" max="7954" width="12.7109375" style="7" customWidth="1"/>
    <col min="7955" max="7955" width="18.85546875" style="7" customWidth="1"/>
    <col min="7956" max="8192" width="11.42578125" style="7"/>
    <col min="8193" max="8193" width="31.85546875" style="7" customWidth="1"/>
    <col min="8194" max="8194" width="10.85546875" style="7" customWidth="1"/>
    <col min="8195" max="8196" width="9.42578125" style="7" customWidth="1"/>
    <col min="8197" max="8198" width="8.42578125" style="7" customWidth="1"/>
    <col min="8199" max="8199" width="16.42578125" style="7" bestFit="1" customWidth="1"/>
    <col min="8200" max="8200" width="17" style="7" customWidth="1"/>
    <col min="8201" max="8201" width="15.42578125" style="7" bestFit="1" customWidth="1"/>
    <col min="8202" max="8202" width="14.42578125" style="7" bestFit="1" customWidth="1"/>
    <col min="8203" max="8203" width="10.7109375" style="7" customWidth="1"/>
    <col min="8204" max="8204" width="10.28515625" style="7" customWidth="1"/>
    <col min="8205" max="8205" width="10.5703125" style="7" customWidth="1"/>
    <col min="8206" max="8208" width="13.28515625" style="7" bestFit="1" customWidth="1"/>
    <col min="8209" max="8210" width="12.7109375" style="7" customWidth="1"/>
    <col min="8211" max="8211" width="18.85546875" style="7" customWidth="1"/>
    <col min="8212" max="8448" width="11.42578125" style="7"/>
    <col min="8449" max="8449" width="31.85546875" style="7" customWidth="1"/>
    <col min="8450" max="8450" width="10.85546875" style="7" customWidth="1"/>
    <col min="8451" max="8452" width="9.42578125" style="7" customWidth="1"/>
    <col min="8453" max="8454" width="8.42578125" style="7" customWidth="1"/>
    <col min="8455" max="8455" width="16.42578125" style="7" bestFit="1" customWidth="1"/>
    <col min="8456" max="8456" width="17" style="7" customWidth="1"/>
    <col min="8457" max="8457" width="15.42578125" style="7" bestFit="1" customWidth="1"/>
    <col min="8458" max="8458" width="14.42578125" style="7" bestFit="1" customWidth="1"/>
    <col min="8459" max="8459" width="10.7109375" style="7" customWidth="1"/>
    <col min="8460" max="8460" width="10.28515625" style="7" customWidth="1"/>
    <col min="8461" max="8461" width="10.5703125" style="7" customWidth="1"/>
    <col min="8462" max="8464" width="13.28515625" style="7" bestFit="1" customWidth="1"/>
    <col min="8465" max="8466" width="12.7109375" style="7" customWidth="1"/>
    <col min="8467" max="8467" width="18.85546875" style="7" customWidth="1"/>
    <col min="8468" max="8704" width="11.42578125" style="7"/>
    <col min="8705" max="8705" width="31.85546875" style="7" customWidth="1"/>
    <col min="8706" max="8706" width="10.85546875" style="7" customWidth="1"/>
    <col min="8707" max="8708" width="9.42578125" style="7" customWidth="1"/>
    <col min="8709" max="8710" width="8.42578125" style="7" customWidth="1"/>
    <col min="8711" max="8711" width="16.42578125" style="7" bestFit="1" customWidth="1"/>
    <col min="8712" max="8712" width="17" style="7" customWidth="1"/>
    <col min="8713" max="8713" width="15.42578125" style="7" bestFit="1" customWidth="1"/>
    <col min="8714" max="8714" width="14.42578125" style="7" bestFit="1" customWidth="1"/>
    <col min="8715" max="8715" width="10.7109375" style="7" customWidth="1"/>
    <col min="8716" max="8716" width="10.28515625" style="7" customWidth="1"/>
    <col min="8717" max="8717" width="10.5703125" style="7" customWidth="1"/>
    <col min="8718" max="8720" width="13.28515625" style="7" bestFit="1" customWidth="1"/>
    <col min="8721" max="8722" width="12.7109375" style="7" customWidth="1"/>
    <col min="8723" max="8723" width="18.85546875" style="7" customWidth="1"/>
    <col min="8724" max="8960" width="11.42578125" style="7"/>
    <col min="8961" max="8961" width="31.85546875" style="7" customWidth="1"/>
    <col min="8962" max="8962" width="10.85546875" style="7" customWidth="1"/>
    <col min="8963" max="8964" width="9.42578125" style="7" customWidth="1"/>
    <col min="8965" max="8966" width="8.42578125" style="7" customWidth="1"/>
    <col min="8967" max="8967" width="16.42578125" style="7" bestFit="1" customWidth="1"/>
    <col min="8968" max="8968" width="17" style="7" customWidth="1"/>
    <col min="8969" max="8969" width="15.42578125" style="7" bestFit="1" customWidth="1"/>
    <col min="8970" max="8970" width="14.42578125" style="7" bestFit="1" customWidth="1"/>
    <col min="8971" max="8971" width="10.7109375" style="7" customWidth="1"/>
    <col min="8972" max="8972" width="10.28515625" style="7" customWidth="1"/>
    <col min="8973" max="8973" width="10.5703125" style="7" customWidth="1"/>
    <col min="8974" max="8976" width="13.28515625" style="7" bestFit="1" customWidth="1"/>
    <col min="8977" max="8978" width="12.7109375" style="7" customWidth="1"/>
    <col min="8979" max="8979" width="18.85546875" style="7" customWidth="1"/>
    <col min="8980" max="9216" width="11.42578125" style="7"/>
    <col min="9217" max="9217" width="31.85546875" style="7" customWidth="1"/>
    <col min="9218" max="9218" width="10.85546875" style="7" customWidth="1"/>
    <col min="9219" max="9220" width="9.42578125" style="7" customWidth="1"/>
    <col min="9221" max="9222" width="8.42578125" style="7" customWidth="1"/>
    <col min="9223" max="9223" width="16.42578125" style="7" bestFit="1" customWidth="1"/>
    <col min="9224" max="9224" width="17" style="7" customWidth="1"/>
    <col min="9225" max="9225" width="15.42578125" style="7" bestFit="1" customWidth="1"/>
    <col min="9226" max="9226" width="14.42578125" style="7" bestFit="1" customWidth="1"/>
    <col min="9227" max="9227" width="10.7109375" style="7" customWidth="1"/>
    <col min="9228" max="9228" width="10.28515625" style="7" customWidth="1"/>
    <col min="9229" max="9229" width="10.5703125" style="7" customWidth="1"/>
    <col min="9230" max="9232" width="13.28515625" style="7" bestFit="1" customWidth="1"/>
    <col min="9233" max="9234" width="12.7109375" style="7" customWidth="1"/>
    <col min="9235" max="9235" width="18.85546875" style="7" customWidth="1"/>
    <col min="9236" max="9472" width="11.42578125" style="7"/>
    <col min="9473" max="9473" width="31.85546875" style="7" customWidth="1"/>
    <col min="9474" max="9474" width="10.85546875" style="7" customWidth="1"/>
    <col min="9475" max="9476" width="9.42578125" style="7" customWidth="1"/>
    <col min="9477" max="9478" width="8.42578125" style="7" customWidth="1"/>
    <col min="9479" max="9479" width="16.42578125" style="7" bestFit="1" customWidth="1"/>
    <col min="9480" max="9480" width="17" style="7" customWidth="1"/>
    <col min="9481" max="9481" width="15.42578125" style="7" bestFit="1" customWidth="1"/>
    <col min="9482" max="9482" width="14.42578125" style="7" bestFit="1" customWidth="1"/>
    <col min="9483" max="9483" width="10.7109375" style="7" customWidth="1"/>
    <col min="9484" max="9484" width="10.28515625" style="7" customWidth="1"/>
    <col min="9485" max="9485" width="10.5703125" style="7" customWidth="1"/>
    <col min="9486" max="9488" width="13.28515625" style="7" bestFit="1" customWidth="1"/>
    <col min="9489" max="9490" width="12.7109375" style="7" customWidth="1"/>
    <col min="9491" max="9491" width="18.85546875" style="7" customWidth="1"/>
    <col min="9492" max="9728" width="11.42578125" style="7"/>
    <col min="9729" max="9729" width="31.85546875" style="7" customWidth="1"/>
    <col min="9730" max="9730" width="10.85546875" style="7" customWidth="1"/>
    <col min="9731" max="9732" width="9.42578125" style="7" customWidth="1"/>
    <col min="9733" max="9734" width="8.42578125" style="7" customWidth="1"/>
    <col min="9735" max="9735" width="16.42578125" style="7" bestFit="1" customWidth="1"/>
    <col min="9736" max="9736" width="17" style="7" customWidth="1"/>
    <col min="9737" max="9737" width="15.42578125" style="7" bestFit="1" customWidth="1"/>
    <col min="9738" max="9738" width="14.42578125" style="7" bestFit="1" customWidth="1"/>
    <col min="9739" max="9739" width="10.7109375" style="7" customWidth="1"/>
    <col min="9740" max="9740" width="10.28515625" style="7" customWidth="1"/>
    <col min="9741" max="9741" width="10.5703125" style="7" customWidth="1"/>
    <col min="9742" max="9744" width="13.28515625" style="7" bestFit="1" customWidth="1"/>
    <col min="9745" max="9746" width="12.7109375" style="7" customWidth="1"/>
    <col min="9747" max="9747" width="18.85546875" style="7" customWidth="1"/>
    <col min="9748" max="9984" width="11.42578125" style="7"/>
    <col min="9985" max="9985" width="31.85546875" style="7" customWidth="1"/>
    <col min="9986" max="9986" width="10.85546875" style="7" customWidth="1"/>
    <col min="9987" max="9988" width="9.42578125" style="7" customWidth="1"/>
    <col min="9989" max="9990" width="8.42578125" style="7" customWidth="1"/>
    <col min="9991" max="9991" width="16.42578125" style="7" bestFit="1" customWidth="1"/>
    <col min="9992" max="9992" width="17" style="7" customWidth="1"/>
    <col min="9993" max="9993" width="15.42578125" style="7" bestFit="1" customWidth="1"/>
    <col min="9994" max="9994" width="14.42578125" style="7" bestFit="1" customWidth="1"/>
    <col min="9995" max="9995" width="10.7109375" style="7" customWidth="1"/>
    <col min="9996" max="9996" width="10.28515625" style="7" customWidth="1"/>
    <col min="9997" max="9997" width="10.5703125" style="7" customWidth="1"/>
    <col min="9998" max="10000" width="13.28515625" style="7" bestFit="1" customWidth="1"/>
    <col min="10001" max="10002" width="12.7109375" style="7" customWidth="1"/>
    <col min="10003" max="10003" width="18.85546875" style="7" customWidth="1"/>
    <col min="10004" max="10240" width="11.42578125" style="7"/>
    <col min="10241" max="10241" width="31.85546875" style="7" customWidth="1"/>
    <col min="10242" max="10242" width="10.85546875" style="7" customWidth="1"/>
    <col min="10243" max="10244" width="9.42578125" style="7" customWidth="1"/>
    <col min="10245" max="10246" width="8.42578125" style="7" customWidth="1"/>
    <col min="10247" max="10247" width="16.42578125" style="7" bestFit="1" customWidth="1"/>
    <col min="10248" max="10248" width="17" style="7" customWidth="1"/>
    <col min="10249" max="10249" width="15.42578125" style="7" bestFit="1" customWidth="1"/>
    <col min="10250" max="10250" width="14.42578125" style="7" bestFit="1" customWidth="1"/>
    <col min="10251" max="10251" width="10.7109375" style="7" customWidth="1"/>
    <col min="10252" max="10252" width="10.28515625" style="7" customWidth="1"/>
    <col min="10253" max="10253" width="10.5703125" style="7" customWidth="1"/>
    <col min="10254" max="10256" width="13.28515625" style="7" bestFit="1" customWidth="1"/>
    <col min="10257" max="10258" width="12.7109375" style="7" customWidth="1"/>
    <col min="10259" max="10259" width="18.85546875" style="7" customWidth="1"/>
    <col min="10260" max="10496" width="11.42578125" style="7"/>
    <col min="10497" max="10497" width="31.85546875" style="7" customWidth="1"/>
    <col min="10498" max="10498" width="10.85546875" style="7" customWidth="1"/>
    <col min="10499" max="10500" width="9.42578125" style="7" customWidth="1"/>
    <col min="10501" max="10502" width="8.42578125" style="7" customWidth="1"/>
    <col min="10503" max="10503" width="16.42578125" style="7" bestFit="1" customWidth="1"/>
    <col min="10504" max="10504" width="17" style="7" customWidth="1"/>
    <col min="10505" max="10505" width="15.42578125" style="7" bestFit="1" customWidth="1"/>
    <col min="10506" max="10506" width="14.42578125" style="7" bestFit="1" customWidth="1"/>
    <col min="10507" max="10507" width="10.7109375" style="7" customWidth="1"/>
    <col min="10508" max="10508" width="10.28515625" style="7" customWidth="1"/>
    <col min="10509" max="10509" width="10.5703125" style="7" customWidth="1"/>
    <col min="10510" max="10512" width="13.28515625" style="7" bestFit="1" customWidth="1"/>
    <col min="10513" max="10514" width="12.7109375" style="7" customWidth="1"/>
    <col min="10515" max="10515" width="18.85546875" style="7" customWidth="1"/>
    <col min="10516" max="10752" width="11.42578125" style="7"/>
    <col min="10753" max="10753" width="31.85546875" style="7" customWidth="1"/>
    <col min="10754" max="10754" width="10.85546875" style="7" customWidth="1"/>
    <col min="10755" max="10756" width="9.42578125" style="7" customWidth="1"/>
    <col min="10757" max="10758" width="8.42578125" style="7" customWidth="1"/>
    <col min="10759" max="10759" width="16.42578125" style="7" bestFit="1" customWidth="1"/>
    <col min="10760" max="10760" width="17" style="7" customWidth="1"/>
    <col min="10761" max="10761" width="15.42578125" style="7" bestFit="1" customWidth="1"/>
    <col min="10762" max="10762" width="14.42578125" style="7" bestFit="1" customWidth="1"/>
    <col min="10763" max="10763" width="10.7109375" style="7" customWidth="1"/>
    <col min="10764" max="10764" width="10.28515625" style="7" customWidth="1"/>
    <col min="10765" max="10765" width="10.5703125" style="7" customWidth="1"/>
    <col min="10766" max="10768" width="13.28515625" style="7" bestFit="1" customWidth="1"/>
    <col min="10769" max="10770" width="12.7109375" style="7" customWidth="1"/>
    <col min="10771" max="10771" width="18.85546875" style="7" customWidth="1"/>
    <col min="10772" max="11008" width="11.42578125" style="7"/>
    <col min="11009" max="11009" width="31.85546875" style="7" customWidth="1"/>
    <col min="11010" max="11010" width="10.85546875" style="7" customWidth="1"/>
    <col min="11011" max="11012" width="9.42578125" style="7" customWidth="1"/>
    <col min="11013" max="11014" width="8.42578125" style="7" customWidth="1"/>
    <col min="11015" max="11015" width="16.42578125" style="7" bestFit="1" customWidth="1"/>
    <col min="11016" max="11016" width="17" style="7" customWidth="1"/>
    <col min="11017" max="11017" width="15.42578125" style="7" bestFit="1" customWidth="1"/>
    <col min="11018" max="11018" width="14.42578125" style="7" bestFit="1" customWidth="1"/>
    <col min="11019" max="11019" width="10.7109375" style="7" customWidth="1"/>
    <col min="11020" max="11020" width="10.28515625" style="7" customWidth="1"/>
    <col min="11021" max="11021" width="10.5703125" style="7" customWidth="1"/>
    <col min="11022" max="11024" width="13.28515625" style="7" bestFit="1" customWidth="1"/>
    <col min="11025" max="11026" width="12.7109375" style="7" customWidth="1"/>
    <col min="11027" max="11027" width="18.85546875" style="7" customWidth="1"/>
    <col min="11028" max="11264" width="11.42578125" style="7"/>
    <col min="11265" max="11265" width="31.85546875" style="7" customWidth="1"/>
    <col min="11266" max="11266" width="10.85546875" style="7" customWidth="1"/>
    <col min="11267" max="11268" width="9.42578125" style="7" customWidth="1"/>
    <col min="11269" max="11270" width="8.42578125" style="7" customWidth="1"/>
    <col min="11271" max="11271" width="16.42578125" style="7" bestFit="1" customWidth="1"/>
    <col min="11272" max="11272" width="17" style="7" customWidth="1"/>
    <col min="11273" max="11273" width="15.42578125" style="7" bestFit="1" customWidth="1"/>
    <col min="11274" max="11274" width="14.42578125" style="7" bestFit="1" customWidth="1"/>
    <col min="11275" max="11275" width="10.7109375" style="7" customWidth="1"/>
    <col min="11276" max="11276" width="10.28515625" style="7" customWidth="1"/>
    <col min="11277" max="11277" width="10.5703125" style="7" customWidth="1"/>
    <col min="11278" max="11280" width="13.28515625" style="7" bestFit="1" customWidth="1"/>
    <col min="11281" max="11282" width="12.7109375" style="7" customWidth="1"/>
    <col min="11283" max="11283" width="18.85546875" style="7" customWidth="1"/>
    <col min="11284" max="11520" width="11.42578125" style="7"/>
    <col min="11521" max="11521" width="31.85546875" style="7" customWidth="1"/>
    <col min="11522" max="11522" width="10.85546875" style="7" customWidth="1"/>
    <col min="11523" max="11524" width="9.42578125" style="7" customWidth="1"/>
    <col min="11525" max="11526" width="8.42578125" style="7" customWidth="1"/>
    <col min="11527" max="11527" width="16.42578125" style="7" bestFit="1" customWidth="1"/>
    <col min="11528" max="11528" width="17" style="7" customWidth="1"/>
    <col min="11529" max="11529" width="15.42578125" style="7" bestFit="1" customWidth="1"/>
    <col min="11530" max="11530" width="14.42578125" style="7" bestFit="1" customWidth="1"/>
    <col min="11531" max="11531" width="10.7109375" style="7" customWidth="1"/>
    <col min="11532" max="11532" width="10.28515625" style="7" customWidth="1"/>
    <col min="11533" max="11533" width="10.5703125" style="7" customWidth="1"/>
    <col min="11534" max="11536" width="13.28515625" style="7" bestFit="1" customWidth="1"/>
    <col min="11537" max="11538" width="12.7109375" style="7" customWidth="1"/>
    <col min="11539" max="11539" width="18.85546875" style="7" customWidth="1"/>
    <col min="11540" max="11776" width="11.42578125" style="7"/>
    <col min="11777" max="11777" width="31.85546875" style="7" customWidth="1"/>
    <col min="11778" max="11778" width="10.85546875" style="7" customWidth="1"/>
    <col min="11779" max="11780" width="9.42578125" style="7" customWidth="1"/>
    <col min="11781" max="11782" width="8.42578125" style="7" customWidth="1"/>
    <col min="11783" max="11783" width="16.42578125" style="7" bestFit="1" customWidth="1"/>
    <col min="11784" max="11784" width="17" style="7" customWidth="1"/>
    <col min="11785" max="11785" width="15.42578125" style="7" bestFit="1" customWidth="1"/>
    <col min="11786" max="11786" width="14.42578125" style="7" bestFit="1" customWidth="1"/>
    <col min="11787" max="11787" width="10.7109375" style="7" customWidth="1"/>
    <col min="11788" max="11788" width="10.28515625" style="7" customWidth="1"/>
    <col min="11789" max="11789" width="10.5703125" style="7" customWidth="1"/>
    <col min="11790" max="11792" width="13.28515625" style="7" bestFit="1" customWidth="1"/>
    <col min="11793" max="11794" width="12.7109375" style="7" customWidth="1"/>
    <col min="11795" max="11795" width="18.85546875" style="7" customWidth="1"/>
    <col min="11796" max="12032" width="11.42578125" style="7"/>
    <col min="12033" max="12033" width="31.85546875" style="7" customWidth="1"/>
    <col min="12034" max="12034" width="10.85546875" style="7" customWidth="1"/>
    <col min="12035" max="12036" width="9.42578125" style="7" customWidth="1"/>
    <col min="12037" max="12038" width="8.42578125" style="7" customWidth="1"/>
    <col min="12039" max="12039" width="16.42578125" style="7" bestFit="1" customWidth="1"/>
    <col min="12040" max="12040" width="17" style="7" customWidth="1"/>
    <col min="12041" max="12041" width="15.42578125" style="7" bestFit="1" customWidth="1"/>
    <col min="12042" max="12042" width="14.42578125" style="7" bestFit="1" customWidth="1"/>
    <col min="12043" max="12043" width="10.7109375" style="7" customWidth="1"/>
    <col min="12044" max="12044" width="10.28515625" style="7" customWidth="1"/>
    <col min="12045" max="12045" width="10.5703125" style="7" customWidth="1"/>
    <col min="12046" max="12048" width="13.28515625" style="7" bestFit="1" customWidth="1"/>
    <col min="12049" max="12050" width="12.7109375" style="7" customWidth="1"/>
    <col min="12051" max="12051" width="18.85546875" style="7" customWidth="1"/>
    <col min="12052" max="12288" width="11.42578125" style="7"/>
    <col min="12289" max="12289" width="31.85546875" style="7" customWidth="1"/>
    <col min="12290" max="12290" width="10.85546875" style="7" customWidth="1"/>
    <col min="12291" max="12292" width="9.42578125" style="7" customWidth="1"/>
    <col min="12293" max="12294" width="8.42578125" style="7" customWidth="1"/>
    <col min="12295" max="12295" width="16.42578125" style="7" bestFit="1" customWidth="1"/>
    <col min="12296" max="12296" width="17" style="7" customWidth="1"/>
    <col min="12297" max="12297" width="15.42578125" style="7" bestFit="1" customWidth="1"/>
    <col min="12298" max="12298" width="14.42578125" style="7" bestFit="1" customWidth="1"/>
    <col min="12299" max="12299" width="10.7109375" style="7" customWidth="1"/>
    <col min="12300" max="12300" width="10.28515625" style="7" customWidth="1"/>
    <col min="12301" max="12301" width="10.5703125" style="7" customWidth="1"/>
    <col min="12302" max="12304" width="13.28515625" style="7" bestFit="1" customWidth="1"/>
    <col min="12305" max="12306" width="12.7109375" style="7" customWidth="1"/>
    <col min="12307" max="12307" width="18.85546875" style="7" customWidth="1"/>
    <col min="12308" max="12544" width="11.42578125" style="7"/>
    <col min="12545" max="12545" width="31.85546875" style="7" customWidth="1"/>
    <col min="12546" max="12546" width="10.85546875" style="7" customWidth="1"/>
    <col min="12547" max="12548" width="9.42578125" style="7" customWidth="1"/>
    <col min="12549" max="12550" width="8.42578125" style="7" customWidth="1"/>
    <col min="12551" max="12551" width="16.42578125" style="7" bestFit="1" customWidth="1"/>
    <col min="12552" max="12552" width="17" style="7" customWidth="1"/>
    <col min="12553" max="12553" width="15.42578125" style="7" bestFit="1" customWidth="1"/>
    <col min="12554" max="12554" width="14.42578125" style="7" bestFit="1" customWidth="1"/>
    <col min="12555" max="12555" width="10.7109375" style="7" customWidth="1"/>
    <col min="12556" max="12556" width="10.28515625" style="7" customWidth="1"/>
    <col min="12557" max="12557" width="10.5703125" style="7" customWidth="1"/>
    <col min="12558" max="12560" width="13.28515625" style="7" bestFit="1" customWidth="1"/>
    <col min="12561" max="12562" width="12.7109375" style="7" customWidth="1"/>
    <col min="12563" max="12563" width="18.85546875" style="7" customWidth="1"/>
    <col min="12564" max="12800" width="11.42578125" style="7"/>
    <col min="12801" max="12801" width="31.85546875" style="7" customWidth="1"/>
    <col min="12802" max="12802" width="10.85546875" style="7" customWidth="1"/>
    <col min="12803" max="12804" width="9.42578125" style="7" customWidth="1"/>
    <col min="12805" max="12806" width="8.42578125" style="7" customWidth="1"/>
    <col min="12807" max="12807" width="16.42578125" style="7" bestFit="1" customWidth="1"/>
    <col min="12808" max="12808" width="17" style="7" customWidth="1"/>
    <col min="12809" max="12809" width="15.42578125" style="7" bestFit="1" customWidth="1"/>
    <col min="12810" max="12810" width="14.42578125" style="7" bestFit="1" customWidth="1"/>
    <col min="12811" max="12811" width="10.7109375" style="7" customWidth="1"/>
    <col min="12812" max="12812" width="10.28515625" style="7" customWidth="1"/>
    <col min="12813" max="12813" width="10.5703125" style="7" customWidth="1"/>
    <col min="12814" max="12816" width="13.28515625" style="7" bestFit="1" customWidth="1"/>
    <col min="12817" max="12818" width="12.7109375" style="7" customWidth="1"/>
    <col min="12819" max="12819" width="18.85546875" style="7" customWidth="1"/>
    <col min="12820" max="13056" width="11.42578125" style="7"/>
    <col min="13057" max="13057" width="31.85546875" style="7" customWidth="1"/>
    <col min="13058" max="13058" width="10.85546875" style="7" customWidth="1"/>
    <col min="13059" max="13060" width="9.42578125" style="7" customWidth="1"/>
    <col min="13061" max="13062" width="8.42578125" style="7" customWidth="1"/>
    <col min="13063" max="13063" width="16.42578125" style="7" bestFit="1" customWidth="1"/>
    <col min="13064" max="13064" width="17" style="7" customWidth="1"/>
    <col min="13065" max="13065" width="15.42578125" style="7" bestFit="1" customWidth="1"/>
    <col min="13066" max="13066" width="14.42578125" style="7" bestFit="1" customWidth="1"/>
    <col min="13067" max="13067" width="10.7109375" style="7" customWidth="1"/>
    <col min="13068" max="13068" width="10.28515625" style="7" customWidth="1"/>
    <col min="13069" max="13069" width="10.5703125" style="7" customWidth="1"/>
    <col min="13070" max="13072" width="13.28515625" style="7" bestFit="1" customWidth="1"/>
    <col min="13073" max="13074" width="12.7109375" style="7" customWidth="1"/>
    <col min="13075" max="13075" width="18.85546875" style="7" customWidth="1"/>
    <col min="13076" max="13312" width="11.42578125" style="7"/>
    <col min="13313" max="13313" width="31.85546875" style="7" customWidth="1"/>
    <col min="13314" max="13314" width="10.85546875" style="7" customWidth="1"/>
    <col min="13315" max="13316" width="9.42578125" style="7" customWidth="1"/>
    <col min="13317" max="13318" width="8.42578125" style="7" customWidth="1"/>
    <col min="13319" max="13319" width="16.42578125" style="7" bestFit="1" customWidth="1"/>
    <col min="13320" max="13320" width="17" style="7" customWidth="1"/>
    <col min="13321" max="13321" width="15.42578125" style="7" bestFit="1" customWidth="1"/>
    <col min="13322" max="13322" width="14.42578125" style="7" bestFit="1" customWidth="1"/>
    <col min="13323" max="13323" width="10.7109375" style="7" customWidth="1"/>
    <col min="13324" max="13324" width="10.28515625" style="7" customWidth="1"/>
    <col min="13325" max="13325" width="10.5703125" style="7" customWidth="1"/>
    <col min="13326" max="13328" width="13.28515625" style="7" bestFit="1" customWidth="1"/>
    <col min="13329" max="13330" width="12.7109375" style="7" customWidth="1"/>
    <col min="13331" max="13331" width="18.85546875" style="7" customWidth="1"/>
    <col min="13332" max="13568" width="11.42578125" style="7"/>
    <col min="13569" max="13569" width="31.85546875" style="7" customWidth="1"/>
    <col min="13570" max="13570" width="10.85546875" style="7" customWidth="1"/>
    <col min="13571" max="13572" width="9.42578125" style="7" customWidth="1"/>
    <col min="13573" max="13574" width="8.42578125" style="7" customWidth="1"/>
    <col min="13575" max="13575" width="16.42578125" style="7" bestFit="1" customWidth="1"/>
    <col min="13576" max="13576" width="17" style="7" customWidth="1"/>
    <col min="13577" max="13577" width="15.42578125" style="7" bestFit="1" customWidth="1"/>
    <col min="13578" max="13578" width="14.42578125" style="7" bestFit="1" customWidth="1"/>
    <col min="13579" max="13579" width="10.7109375" style="7" customWidth="1"/>
    <col min="13580" max="13580" width="10.28515625" style="7" customWidth="1"/>
    <col min="13581" max="13581" width="10.5703125" style="7" customWidth="1"/>
    <col min="13582" max="13584" width="13.28515625" style="7" bestFit="1" customWidth="1"/>
    <col min="13585" max="13586" width="12.7109375" style="7" customWidth="1"/>
    <col min="13587" max="13587" width="18.85546875" style="7" customWidth="1"/>
    <col min="13588" max="13824" width="11.42578125" style="7"/>
    <col min="13825" max="13825" width="31.85546875" style="7" customWidth="1"/>
    <col min="13826" max="13826" width="10.85546875" style="7" customWidth="1"/>
    <col min="13827" max="13828" width="9.42578125" style="7" customWidth="1"/>
    <col min="13829" max="13830" width="8.42578125" style="7" customWidth="1"/>
    <col min="13831" max="13831" width="16.42578125" style="7" bestFit="1" customWidth="1"/>
    <col min="13832" max="13832" width="17" style="7" customWidth="1"/>
    <col min="13833" max="13833" width="15.42578125" style="7" bestFit="1" customWidth="1"/>
    <col min="13834" max="13834" width="14.42578125" style="7" bestFit="1" customWidth="1"/>
    <col min="13835" max="13835" width="10.7109375" style="7" customWidth="1"/>
    <col min="13836" max="13836" width="10.28515625" style="7" customWidth="1"/>
    <col min="13837" max="13837" width="10.5703125" style="7" customWidth="1"/>
    <col min="13838" max="13840" width="13.28515625" style="7" bestFit="1" customWidth="1"/>
    <col min="13841" max="13842" width="12.7109375" style="7" customWidth="1"/>
    <col min="13843" max="13843" width="18.85546875" style="7" customWidth="1"/>
    <col min="13844" max="14080" width="11.42578125" style="7"/>
    <col min="14081" max="14081" width="31.85546875" style="7" customWidth="1"/>
    <col min="14082" max="14082" width="10.85546875" style="7" customWidth="1"/>
    <col min="14083" max="14084" width="9.42578125" style="7" customWidth="1"/>
    <col min="14085" max="14086" width="8.42578125" style="7" customWidth="1"/>
    <col min="14087" max="14087" width="16.42578125" style="7" bestFit="1" customWidth="1"/>
    <col min="14088" max="14088" width="17" style="7" customWidth="1"/>
    <col min="14089" max="14089" width="15.42578125" style="7" bestFit="1" customWidth="1"/>
    <col min="14090" max="14090" width="14.42578125" style="7" bestFit="1" customWidth="1"/>
    <col min="14091" max="14091" width="10.7109375" style="7" customWidth="1"/>
    <col min="14092" max="14092" width="10.28515625" style="7" customWidth="1"/>
    <col min="14093" max="14093" width="10.5703125" style="7" customWidth="1"/>
    <col min="14094" max="14096" width="13.28515625" style="7" bestFit="1" customWidth="1"/>
    <col min="14097" max="14098" width="12.7109375" style="7" customWidth="1"/>
    <col min="14099" max="14099" width="18.85546875" style="7" customWidth="1"/>
    <col min="14100" max="14336" width="11.42578125" style="7"/>
    <col min="14337" max="14337" width="31.85546875" style="7" customWidth="1"/>
    <col min="14338" max="14338" width="10.85546875" style="7" customWidth="1"/>
    <col min="14339" max="14340" width="9.42578125" style="7" customWidth="1"/>
    <col min="14341" max="14342" width="8.42578125" style="7" customWidth="1"/>
    <col min="14343" max="14343" width="16.42578125" style="7" bestFit="1" customWidth="1"/>
    <col min="14344" max="14344" width="17" style="7" customWidth="1"/>
    <col min="14345" max="14345" width="15.42578125" style="7" bestFit="1" customWidth="1"/>
    <col min="14346" max="14346" width="14.42578125" style="7" bestFit="1" customWidth="1"/>
    <col min="14347" max="14347" width="10.7109375" style="7" customWidth="1"/>
    <col min="14348" max="14348" width="10.28515625" style="7" customWidth="1"/>
    <col min="14349" max="14349" width="10.5703125" style="7" customWidth="1"/>
    <col min="14350" max="14352" width="13.28515625" style="7" bestFit="1" customWidth="1"/>
    <col min="14353" max="14354" width="12.7109375" style="7" customWidth="1"/>
    <col min="14355" max="14355" width="18.85546875" style="7" customWidth="1"/>
    <col min="14356" max="14592" width="11.42578125" style="7"/>
    <col min="14593" max="14593" width="31.85546875" style="7" customWidth="1"/>
    <col min="14594" max="14594" width="10.85546875" style="7" customWidth="1"/>
    <col min="14595" max="14596" width="9.42578125" style="7" customWidth="1"/>
    <col min="14597" max="14598" width="8.42578125" style="7" customWidth="1"/>
    <col min="14599" max="14599" width="16.42578125" style="7" bestFit="1" customWidth="1"/>
    <col min="14600" max="14600" width="17" style="7" customWidth="1"/>
    <col min="14601" max="14601" width="15.42578125" style="7" bestFit="1" customWidth="1"/>
    <col min="14602" max="14602" width="14.42578125" style="7" bestFit="1" customWidth="1"/>
    <col min="14603" max="14603" width="10.7109375" style="7" customWidth="1"/>
    <col min="14604" max="14604" width="10.28515625" style="7" customWidth="1"/>
    <col min="14605" max="14605" width="10.5703125" style="7" customWidth="1"/>
    <col min="14606" max="14608" width="13.28515625" style="7" bestFit="1" customWidth="1"/>
    <col min="14609" max="14610" width="12.7109375" style="7" customWidth="1"/>
    <col min="14611" max="14611" width="18.85546875" style="7" customWidth="1"/>
    <col min="14612" max="14848" width="11.42578125" style="7"/>
    <col min="14849" max="14849" width="31.85546875" style="7" customWidth="1"/>
    <col min="14850" max="14850" width="10.85546875" style="7" customWidth="1"/>
    <col min="14851" max="14852" width="9.42578125" style="7" customWidth="1"/>
    <col min="14853" max="14854" width="8.42578125" style="7" customWidth="1"/>
    <col min="14855" max="14855" width="16.42578125" style="7" bestFit="1" customWidth="1"/>
    <col min="14856" max="14856" width="17" style="7" customWidth="1"/>
    <col min="14857" max="14857" width="15.42578125" style="7" bestFit="1" customWidth="1"/>
    <col min="14858" max="14858" width="14.42578125" style="7" bestFit="1" customWidth="1"/>
    <col min="14859" max="14859" width="10.7109375" style="7" customWidth="1"/>
    <col min="14860" max="14860" width="10.28515625" style="7" customWidth="1"/>
    <col min="14861" max="14861" width="10.5703125" style="7" customWidth="1"/>
    <col min="14862" max="14864" width="13.28515625" style="7" bestFit="1" customWidth="1"/>
    <col min="14865" max="14866" width="12.7109375" style="7" customWidth="1"/>
    <col min="14867" max="14867" width="18.85546875" style="7" customWidth="1"/>
    <col min="14868" max="15104" width="11.42578125" style="7"/>
    <col min="15105" max="15105" width="31.85546875" style="7" customWidth="1"/>
    <col min="15106" max="15106" width="10.85546875" style="7" customWidth="1"/>
    <col min="15107" max="15108" width="9.42578125" style="7" customWidth="1"/>
    <col min="15109" max="15110" width="8.42578125" style="7" customWidth="1"/>
    <col min="15111" max="15111" width="16.42578125" style="7" bestFit="1" customWidth="1"/>
    <col min="15112" max="15112" width="17" style="7" customWidth="1"/>
    <col min="15113" max="15113" width="15.42578125" style="7" bestFit="1" customWidth="1"/>
    <col min="15114" max="15114" width="14.42578125" style="7" bestFit="1" customWidth="1"/>
    <col min="15115" max="15115" width="10.7109375" style="7" customWidth="1"/>
    <col min="15116" max="15116" width="10.28515625" style="7" customWidth="1"/>
    <col min="15117" max="15117" width="10.5703125" style="7" customWidth="1"/>
    <col min="15118" max="15120" width="13.28515625" style="7" bestFit="1" customWidth="1"/>
    <col min="15121" max="15122" width="12.7109375" style="7" customWidth="1"/>
    <col min="15123" max="15123" width="18.85546875" style="7" customWidth="1"/>
    <col min="15124" max="15360" width="11.42578125" style="7"/>
    <col min="15361" max="15361" width="31.85546875" style="7" customWidth="1"/>
    <col min="15362" max="15362" width="10.85546875" style="7" customWidth="1"/>
    <col min="15363" max="15364" width="9.42578125" style="7" customWidth="1"/>
    <col min="15365" max="15366" width="8.42578125" style="7" customWidth="1"/>
    <col min="15367" max="15367" width="16.42578125" style="7" bestFit="1" customWidth="1"/>
    <col min="15368" max="15368" width="17" style="7" customWidth="1"/>
    <col min="15369" max="15369" width="15.42578125" style="7" bestFit="1" customWidth="1"/>
    <col min="15370" max="15370" width="14.42578125" style="7" bestFit="1" customWidth="1"/>
    <col min="15371" max="15371" width="10.7109375" style="7" customWidth="1"/>
    <col min="15372" max="15372" width="10.28515625" style="7" customWidth="1"/>
    <col min="15373" max="15373" width="10.5703125" style="7" customWidth="1"/>
    <col min="15374" max="15376" width="13.28515625" style="7" bestFit="1" customWidth="1"/>
    <col min="15377" max="15378" width="12.7109375" style="7" customWidth="1"/>
    <col min="15379" max="15379" width="18.85546875" style="7" customWidth="1"/>
    <col min="15380" max="15616" width="11.42578125" style="7"/>
    <col min="15617" max="15617" width="31.85546875" style="7" customWidth="1"/>
    <col min="15618" max="15618" width="10.85546875" style="7" customWidth="1"/>
    <col min="15619" max="15620" width="9.42578125" style="7" customWidth="1"/>
    <col min="15621" max="15622" width="8.42578125" style="7" customWidth="1"/>
    <col min="15623" max="15623" width="16.42578125" style="7" bestFit="1" customWidth="1"/>
    <col min="15624" max="15624" width="17" style="7" customWidth="1"/>
    <col min="15625" max="15625" width="15.42578125" style="7" bestFit="1" customWidth="1"/>
    <col min="15626" max="15626" width="14.42578125" style="7" bestFit="1" customWidth="1"/>
    <col min="15627" max="15627" width="10.7109375" style="7" customWidth="1"/>
    <col min="15628" max="15628" width="10.28515625" style="7" customWidth="1"/>
    <col min="15629" max="15629" width="10.5703125" style="7" customWidth="1"/>
    <col min="15630" max="15632" width="13.28515625" style="7" bestFit="1" customWidth="1"/>
    <col min="15633" max="15634" width="12.7109375" style="7" customWidth="1"/>
    <col min="15635" max="15635" width="18.85546875" style="7" customWidth="1"/>
    <col min="15636" max="15872" width="11.42578125" style="7"/>
    <col min="15873" max="15873" width="31.85546875" style="7" customWidth="1"/>
    <col min="15874" max="15874" width="10.85546875" style="7" customWidth="1"/>
    <col min="15875" max="15876" width="9.42578125" style="7" customWidth="1"/>
    <col min="15877" max="15878" width="8.42578125" style="7" customWidth="1"/>
    <col min="15879" max="15879" width="16.42578125" style="7" bestFit="1" customWidth="1"/>
    <col min="15880" max="15880" width="17" style="7" customWidth="1"/>
    <col min="15881" max="15881" width="15.42578125" style="7" bestFit="1" customWidth="1"/>
    <col min="15882" max="15882" width="14.42578125" style="7" bestFit="1" customWidth="1"/>
    <col min="15883" max="15883" width="10.7109375" style="7" customWidth="1"/>
    <col min="15884" max="15884" width="10.28515625" style="7" customWidth="1"/>
    <col min="15885" max="15885" width="10.5703125" style="7" customWidth="1"/>
    <col min="15886" max="15888" width="13.28515625" style="7" bestFit="1" customWidth="1"/>
    <col min="15889" max="15890" width="12.7109375" style="7" customWidth="1"/>
    <col min="15891" max="15891" width="18.85546875" style="7" customWidth="1"/>
    <col min="15892" max="16128" width="11.42578125" style="7"/>
    <col min="16129" max="16129" width="31.85546875" style="7" customWidth="1"/>
    <col min="16130" max="16130" width="10.85546875" style="7" customWidth="1"/>
    <col min="16131" max="16132" width="9.42578125" style="7" customWidth="1"/>
    <col min="16133" max="16134" width="8.42578125" style="7" customWidth="1"/>
    <col min="16135" max="16135" width="16.42578125" style="7" bestFit="1" customWidth="1"/>
    <col min="16136" max="16136" width="17" style="7" customWidth="1"/>
    <col min="16137" max="16137" width="15.42578125" style="7" bestFit="1" customWidth="1"/>
    <col min="16138" max="16138" width="14.42578125" style="7" bestFit="1" customWidth="1"/>
    <col min="16139" max="16139" width="10.7109375" style="7" customWidth="1"/>
    <col min="16140" max="16140" width="10.28515625" style="7" customWidth="1"/>
    <col min="16141" max="16141" width="10.5703125" style="7" customWidth="1"/>
    <col min="16142" max="16144" width="13.28515625" style="7" bestFit="1" customWidth="1"/>
    <col min="16145" max="16146" width="12.7109375" style="7" customWidth="1"/>
    <col min="16147" max="16147" width="18.85546875" style="7" customWidth="1"/>
    <col min="16148" max="16384" width="11.42578125" style="7"/>
  </cols>
  <sheetData>
    <row r="1" spans="1:36" ht="15" x14ac:dyDescent="0.2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</row>
    <row r="2" spans="1:36" s="165" customFormat="1" ht="31.5" x14ac:dyDescent="0.25">
      <c r="A2" s="158" t="s">
        <v>176</v>
      </c>
      <c r="B2" s="158" t="s">
        <v>177</v>
      </c>
      <c r="C2" s="158" t="s">
        <v>179</v>
      </c>
      <c r="D2" s="158" t="s">
        <v>245</v>
      </c>
      <c r="E2" s="158" t="s">
        <v>246</v>
      </c>
      <c r="F2" s="158" t="s">
        <v>247</v>
      </c>
      <c r="G2" s="159" t="s">
        <v>182</v>
      </c>
      <c r="H2" s="159" t="s">
        <v>248</v>
      </c>
      <c r="I2" s="159" t="s">
        <v>70</v>
      </c>
      <c r="J2" s="159" t="s">
        <v>183</v>
      </c>
      <c r="K2" s="158" t="s">
        <v>179</v>
      </c>
      <c r="L2" s="158" t="s">
        <v>184</v>
      </c>
      <c r="M2" s="158" t="s">
        <v>177</v>
      </c>
      <c r="N2" s="159"/>
      <c r="O2" s="159"/>
      <c r="P2" s="159"/>
      <c r="Q2" s="159"/>
      <c r="R2" s="159"/>
      <c r="S2" s="160"/>
      <c r="T2" s="161"/>
      <c r="U2" s="162"/>
      <c r="V2" s="163"/>
      <c r="W2" s="163"/>
      <c r="X2" s="163"/>
      <c r="Y2" s="163"/>
      <c r="Z2" s="163"/>
      <c r="AA2" s="161"/>
      <c r="AB2" s="162"/>
      <c r="AC2" s="163"/>
      <c r="AD2" s="164"/>
      <c r="AE2" s="164"/>
      <c r="AF2" s="164"/>
      <c r="AG2" s="164"/>
      <c r="AH2" s="164"/>
    </row>
    <row r="3" spans="1:36" s="165" customFormat="1" ht="15" x14ac:dyDescent="0.25">
      <c r="A3" s="158" t="s">
        <v>249</v>
      </c>
      <c r="B3" s="158"/>
      <c r="C3" s="158" t="s">
        <v>186</v>
      </c>
      <c r="D3" s="158" t="s">
        <v>186</v>
      </c>
      <c r="E3" s="158" t="s">
        <v>186</v>
      </c>
      <c r="F3" s="158" t="s">
        <v>186</v>
      </c>
      <c r="G3" s="158" t="s">
        <v>187</v>
      </c>
      <c r="H3" s="158" t="s">
        <v>188</v>
      </c>
      <c r="I3" s="158" t="s">
        <v>188</v>
      </c>
      <c r="J3" s="158" t="s">
        <v>187</v>
      </c>
      <c r="K3" s="158" t="s">
        <v>189</v>
      </c>
      <c r="L3" s="158" t="s">
        <v>190</v>
      </c>
      <c r="M3" s="158" t="s">
        <v>191</v>
      </c>
      <c r="N3" s="158">
        <v>3</v>
      </c>
      <c r="O3" s="158" t="s">
        <v>250</v>
      </c>
      <c r="P3" s="158" t="s">
        <v>192</v>
      </c>
      <c r="Q3" s="158" t="s">
        <v>193</v>
      </c>
      <c r="R3" s="158" t="s">
        <v>194</v>
      </c>
      <c r="S3" s="160"/>
      <c r="T3" s="161"/>
      <c r="U3" s="162"/>
      <c r="V3" s="163"/>
      <c r="W3" s="163"/>
      <c r="X3" s="163"/>
      <c r="Y3" s="163"/>
      <c r="Z3" s="163"/>
      <c r="AA3" s="161"/>
      <c r="AB3" s="162"/>
      <c r="AC3" s="163"/>
      <c r="AD3" s="164"/>
      <c r="AE3" s="164"/>
      <c r="AF3" s="164"/>
      <c r="AG3" s="164"/>
      <c r="AH3" s="164"/>
    </row>
    <row r="4" spans="1:36" s="165" customFormat="1" ht="15" x14ac:dyDescent="0.25">
      <c r="A4" s="158"/>
      <c r="B4" s="158"/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 t="s">
        <v>196</v>
      </c>
      <c r="O4" s="158" t="s">
        <v>196</v>
      </c>
      <c r="P4" s="158" t="s">
        <v>196</v>
      </c>
      <c r="Q4" s="158" t="s">
        <v>196</v>
      </c>
      <c r="R4" s="158" t="s">
        <v>196</v>
      </c>
      <c r="S4" s="160"/>
      <c r="T4" s="161"/>
      <c r="U4" s="162"/>
      <c r="V4" s="163"/>
      <c r="W4" s="163"/>
      <c r="X4" s="163"/>
      <c r="Y4" s="163"/>
      <c r="Z4" s="163"/>
      <c r="AA4" s="161"/>
      <c r="AB4" s="162"/>
      <c r="AC4" s="163"/>
      <c r="AD4" s="164"/>
      <c r="AE4" s="164"/>
      <c r="AF4" s="164"/>
      <c r="AG4" s="164"/>
      <c r="AH4" s="164"/>
    </row>
    <row r="5" spans="1:36" s="121" customFormat="1" ht="15" x14ac:dyDescent="0.25">
      <c r="A5" s="280"/>
      <c r="B5" s="287"/>
      <c r="C5" s="281"/>
      <c r="D5" s="281"/>
      <c r="E5" s="281"/>
      <c r="F5" s="281"/>
      <c r="G5" s="279">
        <f>C5*E5*F5*B5</f>
        <v>0</v>
      </c>
      <c r="H5" s="279">
        <f>C5*D5</f>
        <v>0</v>
      </c>
      <c r="I5" s="279">
        <v>0</v>
      </c>
      <c r="J5" s="279">
        <v>0</v>
      </c>
      <c r="K5" s="123">
        <f>(D5+0.6)*3.28</f>
        <v>1.9679999999999997</v>
      </c>
      <c r="L5" s="124"/>
      <c r="M5" s="124"/>
      <c r="N5" s="123" t="str">
        <f>+IF(L5=3,M5*K5*0.378,"")</f>
        <v/>
      </c>
      <c r="O5" s="123" t="str">
        <f>+IF(L5=4,M5*K5*0.668,"")</f>
        <v/>
      </c>
      <c r="P5" s="123" t="str">
        <f>+IF(L5=5,M5*K5*1.043,"")</f>
        <v/>
      </c>
      <c r="Q5" s="123" t="str">
        <f>+IF(L5=6,K5*M5*1.503,"")</f>
        <v/>
      </c>
      <c r="R5" s="123" t="str">
        <f t="shared" ref="R5:R23" si="0">+IF(L5=7,K5*M5*2.044,"")</f>
        <v/>
      </c>
      <c r="S5" s="115"/>
      <c r="T5" s="116"/>
      <c r="U5" s="117"/>
      <c r="V5" s="118"/>
      <c r="W5" s="118"/>
      <c r="X5" s="115"/>
      <c r="Y5" s="115"/>
      <c r="Z5" s="115"/>
      <c r="AA5" s="116"/>
      <c r="AB5" s="117"/>
      <c r="AC5" s="118"/>
      <c r="AD5" s="119"/>
      <c r="AE5" s="119"/>
      <c r="AF5" s="119"/>
      <c r="AG5" s="119"/>
      <c r="AH5" s="119"/>
      <c r="AI5" s="120"/>
      <c r="AJ5" s="120"/>
    </row>
    <row r="6" spans="1:36" s="121" customFormat="1" ht="15" x14ac:dyDescent="0.25">
      <c r="A6" s="280"/>
      <c r="B6" s="287"/>
      <c r="C6" s="281"/>
      <c r="D6" s="281"/>
      <c r="E6" s="281"/>
      <c r="F6" s="281"/>
      <c r="G6" s="279"/>
      <c r="H6" s="279"/>
      <c r="I6" s="279"/>
      <c r="J6" s="279"/>
      <c r="K6" s="123">
        <f>(C5+0.6)*3.28</f>
        <v>1.9679999999999997</v>
      </c>
      <c r="L6" s="124"/>
      <c r="M6" s="124"/>
      <c r="N6" s="123" t="str">
        <f t="shared" ref="N6:N92" si="1">+IF(L6=3,M6*K6*0.378,"")</f>
        <v/>
      </c>
      <c r="O6" s="123" t="str">
        <f t="shared" ref="O6:O92" si="2">+IF(L6=4,M6*K6*0.668,"")</f>
        <v/>
      </c>
      <c r="P6" s="123" t="str">
        <f t="shared" ref="P6:P92" si="3">+IF(L6=5,M6*K6*1.043,"")</f>
        <v/>
      </c>
      <c r="Q6" s="123" t="str">
        <f t="shared" ref="Q6:Q92" si="4">+IF(L6=6,K6*M6*1.503,"")</f>
        <v/>
      </c>
      <c r="R6" s="123" t="str">
        <f t="shared" si="0"/>
        <v/>
      </c>
      <c r="S6" s="115"/>
      <c r="T6" s="116"/>
      <c r="U6" s="117"/>
      <c r="V6" s="118"/>
      <c r="W6" s="118"/>
      <c r="X6" s="115"/>
      <c r="Y6" s="115"/>
      <c r="Z6" s="115"/>
      <c r="AA6" s="116"/>
      <c r="AB6" s="117"/>
      <c r="AC6" s="118"/>
      <c r="AD6" s="119"/>
      <c r="AE6" s="119"/>
      <c r="AF6" s="119"/>
      <c r="AG6" s="119"/>
      <c r="AH6" s="119"/>
      <c r="AI6" s="120"/>
      <c r="AJ6" s="120"/>
    </row>
    <row r="7" spans="1:36" s="121" customFormat="1" ht="15" x14ac:dyDescent="0.25">
      <c r="A7" s="280"/>
      <c r="B7" s="287"/>
      <c r="C7" s="281"/>
      <c r="D7" s="281"/>
      <c r="E7" s="281"/>
      <c r="F7" s="281"/>
      <c r="G7" s="279">
        <f>C7*D7*E7</f>
        <v>0</v>
      </c>
      <c r="H7" s="279"/>
      <c r="I7" s="279">
        <f>C7*F7*2</f>
        <v>0</v>
      </c>
      <c r="J7" s="279">
        <f>C7*D7*F7</f>
        <v>0</v>
      </c>
      <c r="K7" s="123">
        <f>(C7+0.2)*3.28</f>
        <v>0.65600000000000003</v>
      </c>
      <c r="L7" s="124"/>
      <c r="M7" s="124"/>
      <c r="N7" s="123" t="str">
        <f t="shared" si="1"/>
        <v/>
      </c>
      <c r="O7" s="123" t="str">
        <f t="shared" si="2"/>
        <v/>
      </c>
      <c r="P7" s="123" t="str">
        <f t="shared" si="3"/>
        <v/>
      </c>
      <c r="Q7" s="123" t="str">
        <f t="shared" si="4"/>
        <v/>
      </c>
      <c r="R7" s="123" t="str">
        <f t="shared" si="0"/>
        <v/>
      </c>
      <c r="S7" s="115"/>
      <c r="T7" s="116"/>
      <c r="U7" s="117"/>
      <c r="V7" s="118"/>
      <c r="W7" s="118"/>
      <c r="X7" s="115"/>
      <c r="Y7" s="115"/>
      <c r="Z7" s="115"/>
      <c r="AA7" s="116"/>
      <c r="AB7" s="117"/>
      <c r="AC7" s="118"/>
      <c r="AD7" s="119"/>
      <c r="AE7" s="119"/>
      <c r="AF7" s="119"/>
      <c r="AG7" s="119"/>
      <c r="AH7" s="119"/>
      <c r="AI7" s="120"/>
      <c r="AJ7" s="120"/>
    </row>
    <row r="8" spans="1:36" s="121" customFormat="1" ht="15" x14ac:dyDescent="0.25">
      <c r="A8" s="280"/>
      <c r="B8" s="287"/>
      <c r="C8" s="281"/>
      <c r="D8" s="281"/>
      <c r="E8" s="281"/>
      <c r="F8" s="281"/>
      <c r="G8" s="279"/>
      <c r="H8" s="279"/>
      <c r="I8" s="279"/>
      <c r="J8" s="279"/>
      <c r="K8" s="123">
        <f>(D7+0.1)*3.281</f>
        <v>0.32810000000000006</v>
      </c>
      <c r="L8" s="124"/>
      <c r="M8" s="124"/>
      <c r="N8" s="123" t="str">
        <f t="shared" si="1"/>
        <v/>
      </c>
      <c r="O8" s="123" t="str">
        <f t="shared" si="2"/>
        <v/>
      </c>
      <c r="P8" s="123" t="str">
        <f t="shared" si="3"/>
        <v/>
      </c>
      <c r="Q8" s="123" t="str">
        <f t="shared" si="4"/>
        <v/>
      </c>
      <c r="R8" s="123" t="str">
        <f t="shared" si="0"/>
        <v/>
      </c>
      <c r="S8" s="115"/>
      <c r="T8" s="116"/>
      <c r="U8" s="117"/>
      <c r="V8" s="118"/>
      <c r="W8" s="118"/>
      <c r="X8" s="115"/>
      <c r="Y8" s="115"/>
      <c r="Z8" s="115"/>
      <c r="AA8" s="116"/>
      <c r="AB8" s="117"/>
      <c r="AC8" s="118"/>
      <c r="AD8" s="119"/>
      <c r="AE8" s="119"/>
      <c r="AF8" s="119"/>
      <c r="AG8" s="119"/>
      <c r="AH8" s="119"/>
      <c r="AI8" s="120"/>
      <c r="AJ8" s="120"/>
    </row>
    <row r="9" spans="1:36" s="121" customFormat="1" ht="15" x14ac:dyDescent="0.25">
      <c r="A9" s="280"/>
      <c r="B9" s="287"/>
      <c r="C9" s="281"/>
      <c r="D9" s="281"/>
      <c r="E9" s="281"/>
      <c r="F9" s="281"/>
      <c r="G9" s="279">
        <v>0</v>
      </c>
      <c r="H9" s="279"/>
      <c r="I9" s="279">
        <f>C9*D9*2</f>
        <v>0</v>
      </c>
      <c r="J9" s="279">
        <f>C9*D9*F9</f>
        <v>0</v>
      </c>
      <c r="K9" s="123">
        <f>(C9+0.2)*3.281</f>
        <v>0.65620000000000012</v>
      </c>
      <c r="L9" s="124"/>
      <c r="M9" s="124"/>
      <c r="N9" s="123" t="str">
        <f t="shared" si="1"/>
        <v/>
      </c>
      <c r="O9" s="123" t="str">
        <f t="shared" si="2"/>
        <v/>
      </c>
      <c r="P9" s="123" t="str">
        <f t="shared" si="3"/>
        <v/>
      </c>
      <c r="Q9" s="123" t="str">
        <f t="shared" si="4"/>
        <v/>
      </c>
      <c r="R9" s="123" t="str">
        <f t="shared" si="0"/>
        <v/>
      </c>
      <c r="S9" s="115"/>
      <c r="T9" s="116"/>
      <c r="U9" s="117"/>
      <c r="V9" s="118"/>
      <c r="W9" s="118"/>
      <c r="X9" s="115"/>
      <c r="Y9" s="115"/>
      <c r="Z9" s="115"/>
      <c r="AA9" s="116"/>
      <c r="AB9" s="117"/>
      <c r="AC9" s="118"/>
      <c r="AD9" s="119"/>
      <c r="AE9" s="119"/>
      <c r="AF9" s="119"/>
      <c r="AG9" s="119"/>
      <c r="AH9" s="119"/>
      <c r="AI9" s="120"/>
      <c r="AJ9" s="120"/>
    </row>
    <row r="10" spans="1:36" s="121" customFormat="1" ht="15" x14ac:dyDescent="0.25">
      <c r="A10" s="280"/>
      <c r="B10" s="287"/>
      <c r="C10" s="281"/>
      <c r="D10" s="281"/>
      <c r="E10" s="281"/>
      <c r="F10" s="281"/>
      <c r="G10" s="279"/>
      <c r="H10" s="279"/>
      <c r="I10" s="279"/>
      <c r="J10" s="279"/>
      <c r="K10" s="123">
        <f>(D9+0.5)*3.281</f>
        <v>1.6405000000000001</v>
      </c>
      <c r="L10" s="124"/>
      <c r="M10" s="124"/>
      <c r="N10" s="123" t="str">
        <f t="shared" si="1"/>
        <v/>
      </c>
      <c r="O10" s="123" t="str">
        <f t="shared" si="2"/>
        <v/>
      </c>
      <c r="P10" s="123" t="str">
        <f t="shared" si="3"/>
        <v/>
      </c>
      <c r="Q10" s="123" t="str">
        <f t="shared" si="4"/>
        <v/>
      </c>
      <c r="R10" s="123" t="str">
        <f t="shared" si="0"/>
        <v/>
      </c>
      <c r="S10" s="115"/>
      <c r="T10" s="116"/>
      <c r="U10" s="117"/>
      <c r="V10" s="118"/>
      <c r="W10" s="118"/>
      <c r="X10" s="115"/>
      <c r="Y10" s="115"/>
      <c r="Z10" s="115"/>
      <c r="AA10" s="116"/>
      <c r="AB10" s="117"/>
      <c r="AC10" s="118"/>
      <c r="AD10" s="119"/>
      <c r="AE10" s="119"/>
      <c r="AF10" s="119"/>
      <c r="AG10" s="119"/>
      <c r="AH10" s="119"/>
      <c r="AI10" s="120"/>
      <c r="AJ10" s="120"/>
    </row>
    <row r="11" spans="1:36" s="121" customFormat="1" ht="15" x14ac:dyDescent="0.25">
      <c r="A11" s="280"/>
      <c r="B11" s="287"/>
      <c r="C11" s="281"/>
      <c r="D11" s="281"/>
      <c r="E11" s="281"/>
      <c r="F11" s="281"/>
      <c r="G11" s="279"/>
      <c r="H11" s="279"/>
      <c r="I11" s="279"/>
      <c r="J11" s="279"/>
      <c r="K11" s="123">
        <f>(C9+0.2)*3.281</f>
        <v>0.65620000000000012</v>
      </c>
      <c r="L11" s="124"/>
      <c r="M11" s="124"/>
      <c r="N11" s="123" t="str">
        <f t="shared" si="1"/>
        <v/>
      </c>
      <c r="O11" s="123" t="str">
        <f t="shared" si="2"/>
        <v/>
      </c>
      <c r="P11" s="123" t="str">
        <f t="shared" si="3"/>
        <v/>
      </c>
      <c r="Q11" s="123" t="str">
        <f t="shared" si="4"/>
        <v/>
      </c>
      <c r="R11" s="123" t="str">
        <f t="shared" si="0"/>
        <v/>
      </c>
      <c r="S11" s="115"/>
      <c r="T11" s="116"/>
      <c r="U11" s="117"/>
      <c r="V11" s="118"/>
      <c r="W11" s="118"/>
      <c r="X11" s="115"/>
      <c r="Y11" s="115"/>
      <c r="Z11" s="115"/>
      <c r="AA11" s="116"/>
      <c r="AB11" s="117"/>
      <c r="AC11" s="118"/>
      <c r="AD11" s="119"/>
      <c r="AE11" s="119"/>
      <c r="AF11" s="119"/>
      <c r="AG11" s="119"/>
      <c r="AH11" s="119"/>
      <c r="AI11" s="120"/>
      <c r="AJ11" s="120"/>
    </row>
    <row r="12" spans="1:36" s="121" customFormat="1" ht="15" x14ac:dyDescent="0.25">
      <c r="A12" s="280"/>
      <c r="B12" s="287"/>
      <c r="C12" s="281"/>
      <c r="D12" s="281"/>
      <c r="E12" s="281"/>
      <c r="F12" s="281"/>
      <c r="G12" s="279"/>
      <c r="H12" s="279"/>
      <c r="I12" s="279"/>
      <c r="J12" s="279"/>
      <c r="K12" s="123">
        <f>(D9+0.5)*3.281</f>
        <v>1.6405000000000001</v>
      </c>
      <c r="L12" s="124"/>
      <c r="M12" s="124"/>
      <c r="N12" s="123" t="str">
        <f t="shared" si="1"/>
        <v/>
      </c>
      <c r="O12" s="123" t="str">
        <f t="shared" si="2"/>
        <v/>
      </c>
      <c r="P12" s="123" t="str">
        <f t="shared" si="3"/>
        <v/>
      </c>
      <c r="Q12" s="123" t="str">
        <f t="shared" si="4"/>
        <v/>
      </c>
      <c r="R12" s="123" t="str">
        <f t="shared" si="0"/>
        <v/>
      </c>
      <c r="S12" s="115"/>
      <c r="T12" s="116"/>
      <c r="U12" s="117"/>
      <c r="V12" s="118"/>
      <c r="W12" s="118"/>
      <c r="X12" s="115"/>
      <c r="Y12" s="115"/>
      <c r="Z12" s="115"/>
      <c r="AA12" s="116"/>
      <c r="AB12" s="117"/>
      <c r="AC12" s="118"/>
      <c r="AD12" s="119"/>
      <c r="AE12" s="119"/>
      <c r="AF12" s="119"/>
      <c r="AG12" s="119"/>
      <c r="AH12" s="119"/>
      <c r="AI12" s="120"/>
      <c r="AJ12" s="120"/>
    </row>
    <row r="13" spans="1:36" s="121" customFormat="1" ht="15" x14ac:dyDescent="0.25">
      <c r="A13" s="280"/>
      <c r="B13" s="287"/>
      <c r="C13" s="281"/>
      <c r="D13" s="281"/>
      <c r="E13" s="281"/>
      <c r="F13" s="281"/>
      <c r="G13" s="279">
        <f>C13*D13*E13</f>
        <v>0</v>
      </c>
      <c r="H13" s="279"/>
      <c r="I13" s="279">
        <f>C13*D13*2</f>
        <v>0</v>
      </c>
      <c r="J13" s="279">
        <f>C13*D13*F13</f>
        <v>0</v>
      </c>
      <c r="K13" s="123">
        <f>(C13+0.2)*3.281</f>
        <v>0.65620000000000012</v>
      </c>
      <c r="L13" s="124"/>
      <c r="M13" s="124"/>
      <c r="N13" s="123" t="str">
        <f t="shared" si="1"/>
        <v/>
      </c>
      <c r="O13" s="123" t="str">
        <f t="shared" si="2"/>
        <v/>
      </c>
      <c r="P13" s="123" t="str">
        <f t="shared" si="3"/>
        <v/>
      </c>
      <c r="Q13" s="123" t="str">
        <f t="shared" si="4"/>
        <v/>
      </c>
      <c r="R13" s="123" t="str">
        <f t="shared" si="0"/>
        <v/>
      </c>
      <c r="S13" s="115"/>
      <c r="T13" s="116"/>
      <c r="U13" s="117"/>
      <c r="V13" s="118"/>
      <c r="W13" s="118"/>
      <c r="X13" s="115"/>
      <c r="Y13" s="115"/>
      <c r="Z13" s="115"/>
      <c r="AA13" s="116"/>
      <c r="AB13" s="117"/>
      <c r="AC13" s="118"/>
      <c r="AD13" s="119"/>
      <c r="AE13" s="119"/>
      <c r="AF13" s="119"/>
      <c r="AG13" s="119"/>
      <c r="AH13" s="119"/>
      <c r="AI13" s="120"/>
      <c r="AJ13" s="120"/>
    </row>
    <row r="14" spans="1:36" s="121" customFormat="1" ht="15" x14ac:dyDescent="0.25">
      <c r="A14" s="280"/>
      <c r="B14" s="287"/>
      <c r="C14" s="281"/>
      <c r="D14" s="281"/>
      <c r="E14" s="281"/>
      <c r="F14" s="281"/>
      <c r="G14" s="279"/>
      <c r="H14" s="279"/>
      <c r="I14" s="279"/>
      <c r="J14" s="279"/>
      <c r="K14" s="123">
        <f>(D13+0.5)*3.281</f>
        <v>1.6405000000000001</v>
      </c>
      <c r="L14" s="124"/>
      <c r="M14" s="124"/>
      <c r="N14" s="123" t="str">
        <f t="shared" si="1"/>
        <v/>
      </c>
      <c r="O14" s="123" t="str">
        <f t="shared" si="2"/>
        <v/>
      </c>
      <c r="P14" s="123" t="str">
        <f t="shared" si="3"/>
        <v/>
      </c>
      <c r="Q14" s="123" t="str">
        <f t="shared" si="4"/>
        <v/>
      </c>
      <c r="R14" s="123" t="str">
        <f t="shared" si="0"/>
        <v/>
      </c>
      <c r="S14" s="115"/>
      <c r="T14" s="116"/>
      <c r="U14" s="117"/>
      <c r="V14" s="118"/>
      <c r="W14" s="118"/>
      <c r="X14" s="115"/>
      <c r="Y14" s="115"/>
      <c r="Z14" s="115"/>
      <c r="AA14" s="116"/>
      <c r="AB14" s="117"/>
      <c r="AC14" s="118"/>
      <c r="AD14" s="119"/>
      <c r="AE14" s="119"/>
      <c r="AF14" s="119"/>
      <c r="AG14" s="119"/>
      <c r="AH14" s="119"/>
      <c r="AI14" s="120"/>
      <c r="AJ14" s="120"/>
    </row>
    <row r="15" spans="1:36" s="121" customFormat="1" ht="15" x14ac:dyDescent="0.25">
      <c r="A15" s="280"/>
      <c r="B15" s="287"/>
      <c r="C15" s="281"/>
      <c r="D15" s="281"/>
      <c r="E15" s="281"/>
      <c r="F15" s="281"/>
      <c r="G15" s="279">
        <f>C15*D15*E15</f>
        <v>0</v>
      </c>
      <c r="H15" s="279"/>
      <c r="I15" s="279"/>
      <c r="J15" s="279"/>
      <c r="K15" s="123">
        <f>(C13+0.2)*3.281</f>
        <v>0.65620000000000012</v>
      </c>
      <c r="L15" s="124"/>
      <c r="M15" s="124"/>
      <c r="N15" s="123" t="str">
        <f t="shared" si="1"/>
        <v/>
      </c>
      <c r="O15" s="123" t="str">
        <f t="shared" si="2"/>
        <v/>
      </c>
      <c r="P15" s="123" t="str">
        <f t="shared" si="3"/>
        <v/>
      </c>
      <c r="Q15" s="123" t="str">
        <f t="shared" si="4"/>
        <v/>
      </c>
      <c r="R15" s="123" t="str">
        <f t="shared" si="0"/>
        <v/>
      </c>
      <c r="S15" s="115"/>
      <c r="T15" s="116"/>
      <c r="U15" s="117"/>
      <c r="V15" s="118"/>
      <c r="W15" s="118"/>
      <c r="X15" s="115"/>
      <c r="Y15" s="115"/>
      <c r="Z15" s="115"/>
      <c r="AA15" s="116"/>
      <c r="AB15" s="117"/>
      <c r="AC15" s="118"/>
      <c r="AD15" s="119"/>
      <c r="AE15" s="119"/>
      <c r="AF15" s="119"/>
      <c r="AG15" s="119"/>
      <c r="AH15" s="119"/>
      <c r="AI15" s="120"/>
      <c r="AJ15" s="120"/>
    </row>
    <row r="16" spans="1:36" s="121" customFormat="1" ht="15" x14ac:dyDescent="0.25">
      <c r="A16" s="280"/>
      <c r="B16" s="287"/>
      <c r="C16" s="281"/>
      <c r="D16" s="281"/>
      <c r="E16" s="281"/>
      <c r="F16" s="281"/>
      <c r="G16" s="279"/>
      <c r="H16" s="279"/>
      <c r="I16" s="279"/>
      <c r="J16" s="279"/>
      <c r="K16" s="123">
        <f>(D13+0.5)*3.281</f>
        <v>1.6405000000000001</v>
      </c>
      <c r="L16" s="124"/>
      <c r="M16" s="124"/>
      <c r="N16" s="123" t="str">
        <f t="shared" si="1"/>
        <v/>
      </c>
      <c r="O16" s="123" t="str">
        <f t="shared" si="2"/>
        <v/>
      </c>
      <c r="P16" s="123" t="str">
        <f t="shared" si="3"/>
        <v/>
      </c>
      <c r="Q16" s="123" t="str">
        <f t="shared" si="4"/>
        <v/>
      </c>
      <c r="R16" s="123" t="str">
        <f t="shared" si="0"/>
        <v/>
      </c>
      <c r="S16" s="115"/>
      <c r="T16" s="116"/>
      <c r="U16" s="117"/>
      <c r="V16" s="118"/>
      <c r="W16" s="118"/>
      <c r="X16" s="115"/>
      <c r="Y16" s="115"/>
      <c r="Z16" s="115"/>
      <c r="AA16" s="116"/>
      <c r="AB16" s="117"/>
      <c r="AC16" s="118"/>
      <c r="AD16" s="119"/>
      <c r="AE16" s="119"/>
      <c r="AF16" s="119"/>
      <c r="AG16" s="119"/>
      <c r="AH16" s="119"/>
      <c r="AI16" s="120"/>
      <c r="AJ16" s="120"/>
    </row>
    <row r="17" spans="1:36" s="121" customFormat="1" ht="15" x14ac:dyDescent="0.25">
      <c r="A17" s="291"/>
      <c r="B17" s="287"/>
      <c r="C17" s="281"/>
      <c r="D17" s="281"/>
      <c r="E17" s="281"/>
      <c r="F17" s="281"/>
      <c r="G17" s="279">
        <f>C17*D17*E17</f>
        <v>0</v>
      </c>
      <c r="H17" s="279"/>
      <c r="I17" s="279">
        <f>C17*F17*2</f>
        <v>0</v>
      </c>
      <c r="J17" s="279">
        <f>C17*D17*F17</f>
        <v>0</v>
      </c>
      <c r="K17" s="123">
        <f>(C17+0.6)*3.281</f>
        <v>1.9685999999999999</v>
      </c>
      <c r="L17" s="124"/>
      <c r="M17" s="124"/>
      <c r="N17" s="123" t="str">
        <f t="shared" si="1"/>
        <v/>
      </c>
      <c r="O17" s="123" t="str">
        <f t="shared" si="2"/>
        <v/>
      </c>
      <c r="P17" s="123" t="str">
        <f t="shared" si="3"/>
        <v/>
      </c>
      <c r="Q17" s="123" t="str">
        <f t="shared" si="4"/>
        <v/>
      </c>
      <c r="R17" s="123" t="str">
        <f t="shared" si="0"/>
        <v/>
      </c>
      <c r="S17" s="115"/>
      <c r="T17" s="116"/>
      <c r="U17" s="117"/>
      <c r="V17" s="118"/>
      <c r="W17" s="118"/>
      <c r="X17" s="115"/>
      <c r="Y17" s="115"/>
      <c r="Z17" s="115"/>
      <c r="AA17" s="116"/>
      <c r="AB17" s="117"/>
      <c r="AC17" s="118"/>
      <c r="AD17" s="119"/>
      <c r="AE17" s="119"/>
      <c r="AF17" s="119"/>
      <c r="AG17" s="119"/>
      <c r="AH17" s="119"/>
      <c r="AI17" s="120"/>
      <c r="AJ17" s="120"/>
    </row>
    <row r="18" spans="1:36" s="121" customFormat="1" ht="15" x14ac:dyDescent="0.25">
      <c r="A18" s="291"/>
      <c r="B18" s="287"/>
      <c r="C18" s="281"/>
      <c r="D18" s="281"/>
      <c r="E18" s="281"/>
      <c r="F18" s="281"/>
      <c r="G18" s="279"/>
      <c r="H18" s="279"/>
      <c r="I18" s="279"/>
      <c r="J18" s="279"/>
      <c r="K18" s="123">
        <f>(D17+0.6)*3.281</f>
        <v>1.9685999999999999</v>
      </c>
      <c r="L18" s="124"/>
      <c r="M18" s="124"/>
      <c r="N18" s="123" t="str">
        <f>+IF(L18=3,M18*K18*0.378,"")</f>
        <v/>
      </c>
      <c r="O18" s="123" t="str">
        <f>+IF(L18=4,M18*K18*0.668,"")</f>
        <v/>
      </c>
      <c r="P18" s="123" t="str">
        <f>+IF(L18=5,M18*K18*1.043,"")</f>
        <v/>
      </c>
      <c r="Q18" s="123" t="str">
        <f>+IF(L18=6,K18*M18*1.503,"")</f>
        <v/>
      </c>
      <c r="R18" s="123" t="str">
        <f t="shared" si="0"/>
        <v/>
      </c>
      <c r="S18" s="115"/>
      <c r="T18" s="116"/>
      <c r="U18" s="117"/>
      <c r="V18" s="118"/>
      <c r="W18" s="118"/>
      <c r="X18" s="115"/>
      <c r="Y18" s="115"/>
      <c r="Z18" s="115"/>
      <c r="AA18" s="116"/>
      <c r="AB18" s="117"/>
      <c r="AC18" s="118"/>
      <c r="AD18" s="119"/>
      <c r="AE18" s="119"/>
      <c r="AF18" s="119"/>
      <c r="AG18" s="119"/>
      <c r="AH18" s="119"/>
      <c r="AI18" s="120"/>
      <c r="AJ18" s="120"/>
    </row>
    <row r="19" spans="1:36" s="121" customFormat="1" ht="15" x14ac:dyDescent="0.25">
      <c r="A19" s="291"/>
      <c r="B19" s="287"/>
      <c r="C19" s="281"/>
      <c r="D19" s="281"/>
      <c r="E19" s="281"/>
      <c r="F19" s="281"/>
      <c r="G19" s="279"/>
      <c r="H19" s="279"/>
      <c r="I19" s="279"/>
      <c r="J19" s="279"/>
      <c r="K19" s="123">
        <f>(C17+0.6)*3.281</f>
        <v>1.9685999999999999</v>
      </c>
      <c r="L19" s="124"/>
      <c r="M19" s="124"/>
      <c r="N19" s="123" t="str">
        <f t="shared" si="1"/>
        <v/>
      </c>
      <c r="O19" s="123" t="str">
        <f t="shared" si="2"/>
        <v/>
      </c>
      <c r="P19" s="123" t="str">
        <f t="shared" si="3"/>
        <v/>
      </c>
      <c r="Q19" s="123" t="str">
        <f t="shared" si="4"/>
        <v/>
      </c>
      <c r="R19" s="123" t="str">
        <f t="shared" si="0"/>
        <v/>
      </c>
      <c r="S19" s="115"/>
      <c r="T19" s="116"/>
      <c r="U19" s="117"/>
      <c r="V19" s="118"/>
      <c r="W19" s="118"/>
      <c r="X19" s="115"/>
      <c r="Y19" s="115"/>
      <c r="Z19" s="115"/>
      <c r="AA19" s="116"/>
      <c r="AB19" s="117"/>
      <c r="AC19" s="118"/>
      <c r="AD19" s="119"/>
      <c r="AE19" s="119"/>
      <c r="AF19" s="119"/>
      <c r="AG19" s="119"/>
      <c r="AH19" s="119"/>
      <c r="AI19" s="120"/>
      <c r="AJ19" s="120"/>
    </row>
    <row r="20" spans="1:36" s="121" customFormat="1" ht="15" x14ac:dyDescent="0.25">
      <c r="A20" s="291"/>
      <c r="B20" s="287"/>
      <c r="C20" s="281"/>
      <c r="D20" s="281"/>
      <c r="E20" s="281"/>
      <c r="F20" s="281"/>
      <c r="G20" s="279"/>
      <c r="H20" s="279"/>
      <c r="I20" s="279"/>
      <c r="J20" s="279"/>
      <c r="K20" s="123">
        <f>(D17+0.6)*3.281</f>
        <v>1.9685999999999999</v>
      </c>
      <c r="L20" s="124"/>
      <c r="M20" s="124"/>
      <c r="N20" s="123" t="str">
        <f t="shared" si="1"/>
        <v/>
      </c>
      <c r="O20" s="123" t="str">
        <f t="shared" si="2"/>
        <v/>
      </c>
      <c r="P20" s="123" t="str">
        <f t="shared" si="3"/>
        <v/>
      </c>
      <c r="Q20" s="123" t="str">
        <f t="shared" si="4"/>
        <v/>
      </c>
      <c r="R20" s="123" t="str">
        <f t="shared" si="0"/>
        <v/>
      </c>
      <c r="S20" s="115"/>
      <c r="T20" s="116"/>
      <c r="U20" s="117"/>
      <c r="V20" s="118"/>
      <c r="W20" s="118"/>
      <c r="X20" s="115"/>
      <c r="Y20" s="115"/>
      <c r="Z20" s="115"/>
      <c r="AA20" s="116"/>
      <c r="AB20" s="117"/>
      <c r="AC20" s="118"/>
      <c r="AD20" s="119"/>
      <c r="AE20" s="119"/>
      <c r="AF20" s="119"/>
      <c r="AG20" s="119"/>
      <c r="AH20" s="119"/>
      <c r="AI20" s="120"/>
      <c r="AJ20" s="120"/>
    </row>
    <row r="21" spans="1:36" s="121" customFormat="1" ht="15" x14ac:dyDescent="0.25">
      <c r="A21" s="291"/>
      <c r="B21" s="287"/>
      <c r="C21" s="281"/>
      <c r="D21" s="281"/>
      <c r="E21" s="281"/>
      <c r="F21" s="281"/>
      <c r="G21" s="279">
        <v>0</v>
      </c>
      <c r="H21" s="279"/>
      <c r="I21" s="279">
        <f>C21*D21*2</f>
        <v>0</v>
      </c>
      <c r="J21" s="279">
        <f>C21*D21*F21</f>
        <v>0</v>
      </c>
      <c r="K21" s="123">
        <f>(C21+0.6)*3.281</f>
        <v>1.9685999999999999</v>
      </c>
      <c r="L21" s="124"/>
      <c r="M21" s="124"/>
      <c r="N21" s="123" t="str">
        <f t="shared" si="1"/>
        <v/>
      </c>
      <c r="O21" s="123" t="str">
        <f t="shared" si="2"/>
        <v/>
      </c>
      <c r="P21" s="123" t="str">
        <f t="shared" si="3"/>
        <v/>
      </c>
      <c r="Q21" s="123" t="str">
        <f t="shared" si="4"/>
        <v/>
      </c>
      <c r="R21" s="123" t="str">
        <f t="shared" si="0"/>
        <v/>
      </c>
      <c r="S21" s="115"/>
      <c r="T21" s="116"/>
      <c r="U21" s="117"/>
      <c r="V21" s="118"/>
      <c r="W21" s="118"/>
      <c r="X21" s="115"/>
      <c r="Y21" s="115"/>
      <c r="Z21" s="115"/>
      <c r="AA21" s="116"/>
      <c r="AB21" s="117"/>
      <c r="AC21" s="118"/>
      <c r="AD21" s="119"/>
      <c r="AE21" s="119"/>
      <c r="AF21" s="119"/>
      <c r="AG21" s="119"/>
      <c r="AH21" s="119"/>
      <c r="AI21" s="120"/>
      <c r="AJ21" s="120"/>
    </row>
    <row r="22" spans="1:36" s="121" customFormat="1" ht="15" x14ac:dyDescent="0.25">
      <c r="A22" s="291"/>
      <c r="B22" s="287"/>
      <c r="C22" s="281"/>
      <c r="D22" s="281"/>
      <c r="E22" s="281"/>
      <c r="F22" s="281"/>
      <c r="G22" s="279"/>
      <c r="H22" s="279"/>
      <c r="I22" s="279"/>
      <c r="J22" s="279"/>
      <c r="K22" s="123">
        <f>(D21+1)*3.281</f>
        <v>3.2810000000000001</v>
      </c>
      <c r="L22" s="124"/>
      <c r="M22" s="124"/>
      <c r="N22" s="123" t="str">
        <f t="shared" si="1"/>
        <v/>
      </c>
      <c r="O22" s="123" t="str">
        <f t="shared" si="2"/>
        <v/>
      </c>
      <c r="P22" s="123" t="str">
        <f t="shared" si="3"/>
        <v/>
      </c>
      <c r="Q22" s="123" t="str">
        <f t="shared" si="4"/>
        <v/>
      </c>
      <c r="R22" s="123" t="str">
        <f t="shared" si="0"/>
        <v/>
      </c>
      <c r="S22" s="115"/>
      <c r="T22" s="116"/>
      <c r="U22" s="117"/>
      <c r="V22" s="118"/>
      <c r="W22" s="118"/>
      <c r="X22" s="115"/>
      <c r="Y22" s="115"/>
      <c r="Z22" s="115"/>
      <c r="AA22" s="116"/>
      <c r="AB22" s="117"/>
      <c r="AC22" s="118"/>
      <c r="AD22" s="119"/>
      <c r="AE22" s="119"/>
      <c r="AF22" s="119"/>
      <c r="AG22" s="119"/>
      <c r="AH22" s="119"/>
      <c r="AI22" s="120"/>
      <c r="AJ22" s="120"/>
    </row>
    <row r="23" spans="1:36" s="121" customFormat="1" ht="15" x14ac:dyDescent="0.25">
      <c r="A23" s="291"/>
      <c r="B23" s="287"/>
      <c r="C23" s="281"/>
      <c r="D23" s="281"/>
      <c r="E23" s="281"/>
      <c r="F23" s="281"/>
      <c r="G23" s="279"/>
      <c r="H23" s="279"/>
      <c r="I23" s="279"/>
      <c r="J23" s="279"/>
      <c r="K23" s="123">
        <f>(C21+0.6)*3.281</f>
        <v>1.9685999999999999</v>
      </c>
      <c r="L23" s="124"/>
      <c r="M23" s="124"/>
      <c r="N23" s="123" t="str">
        <f t="shared" si="1"/>
        <v/>
      </c>
      <c r="O23" s="123" t="str">
        <f t="shared" si="2"/>
        <v/>
      </c>
      <c r="P23" s="123" t="str">
        <f t="shared" si="3"/>
        <v/>
      </c>
      <c r="Q23" s="123" t="str">
        <f t="shared" si="4"/>
        <v/>
      </c>
      <c r="R23" s="123" t="str">
        <f t="shared" si="0"/>
        <v/>
      </c>
      <c r="S23" s="115"/>
      <c r="T23" s="116"/>
      <c r="U23" s="117"/>
      <c r="V23" s="118"/>
      <c r="W23" s="118"/>
      <c r="X23" s="115"/>
      <c r="Y23" s="115"/>
      <c r="Z23" s="115"/>
      <c r="AA23" s="116"/>
      <c r="AB23" s="117"/>
      <c r="AC23" s="118"/>
      <c r="AD23" s="119"/>
      <c r="AE23" s="119"/>
      <c r="AF23" s="119"/>
      <c r="AG23" s="119"/>
      <c r="AH23" s="119"/>
      <c r="AI23" s="120"/>
      <c r="AJ23" s="120"/>
    </row>
    <row r="24" spans="1:36" s="121" customFormat="1" ht="15" x14ac:dyDescent="0.25">
      <c r="A24" s="291"/>
      <c r="B24" s="287"/>
      <c r="C24" s="281"/>
      <c r="D24" s="281"/>
      <c r="E24" s="281"/>
      <c r="F24" s="281"/>
      <c r="G24" s="279"/>
      <c r="H24" s="279"/>
      <c r="I24" s="279"/>
      <c r="J24" s="279"/>
      <c r="K24" s="123">
        <f>(D21+1)*3.281</f>
        <v>3.2810000000000001</v>
      </c>
      <c r="L24" s="124"/>
      <c r="M24" s="124"/>
      <c r="N24" s="123" t="str">
        <f t="shared" si="1"/>
        <v/>
      </c>
      <c r="O24" s="123" t="str">
        <f t="shared" si="2"/>
        <v/>
      </c>
      <c r="P24" s="123" t="str">
        <f t="shared" si="3"/>
        <v/>
      </c>
      <c r="Q24" s="123" t="str">
        <f t="shared" si="4"/>
        <v/>
      </c>
      <c r="R24" s="123" t="str">
        <f>+IF(L24=7,K24*M24*2.044,"")</f>
        <v/>
      </c>
      <c r="S24" s="115"/>
      <c r="T24" s="116"/>
      <c r="U24" s="117"/>
      <c r="V24" s="118"/>
      <c r="W24" s="118"/>
      <c r="X24" s="115"/>
      <c r="Y24" s="115"/>
      <c r="Z24" s="115"/>
      <c r="AA24" s="116"/>
      <c r="AB24" s="117"/>
      <c r="AC24" s="118"/>
      <c r="AD24" s="119"/>
      <c r="AE24" s="119"/>
      <c r="AF24" s="119"/>
      <c r="AG24" s="119"/>
      <c r="AH24" s="119"/>
      <c r="AI24" s="120"/>
      <c r="AJ24" s="120"/>
    </row>
    <row r="25" spans="1:36" s="121" customFormat="1" ht="15" x14ac:dyDescent="0.25">
      <c r="A25" s="291"/>
      <c r="B25" s="287"/>
      <c r="C25" s="281"/>
      <c r="D25" s="281"/>
      <c r="E25" s="281"/>
      <c r="F25" s="281"/>
      <c r="G25" s="279">
        <f>C25*E25*0.4</f>
        <v>0</v>
      </c>
      <c r="H25" s="279"/>
      <c r="I25" s="279">
        <f>C25*D25*2</f>
        <v>0</v>
      </c>
      <c r="J25" s="279">
        <f>C25*D25*F25</f>
        <v>0</v>
      </c>
      <c r="K25" s="123">
        <f>(C25+0.6)*3.281</f>
        <v>1.9685999999999999</v>
      </c>
      <c r="L25" s="124"/>
      <c r="M25" s="124"/>
      <c r="N25" s="123" t="str">
        <f t="shared" si="1"/>
        <v/>
      </c>
      <c r="O25" s="123" t="str">
        <f t="shared" si="2"/>
        <v/>
      </c>
      <c r="P25" s="123" t="str">
        <f t="shared" si="3"/>
        <v/>
      </c>
      <c r="Q25" s="123" t="str">
        <f t="shared" si="4"/>
        <v/>
      </c>
      <c r="R25" s="123" t="str">
        <f t="shared" ref="R25:R102" si="5">+IF(L25=7,K25*M25*2.044,"")</f>
        <v/>
      </c>
      <c r="S25" s="115"/>
      <c r="T25" s="116"/>
      <c r="U25" s="117"/>
      <c r="V25" s="118"/>
      <c r="W25" s="118"/>
      <c r="X25" s="115"/>
      <c r="Y25" s="115"/>
      <c r="Z25" s="115"/>
      <c r="AA25" s="116"/>
      <c r="AB25" s="117"/>
      <c r="AC25" s="118"/>
      <c r="AD25" s="119"/>
      <c r="AE25" s="119"/>
      <c r="AF25" s="119"/>
      <c r="AG25" s="119"/>
      <c r="AH25" s="119"/>
      <c r="AI25" s="120"/>
      <c r="AJ25" s="120"/>
    </row>
    <row r="26" spans="1:36" s="121" customFormat="1" ht="15" x14ac:dyDescent="0.25">
      <c r="A26" s="291"/>
      <c r="B26" s="287"/>
      <c r="C26" s="281"/>
      <c r="D26" s="281"/>
      <c r="E26" s="281"/>
      <c r="F26" s="281"/>
      <c r="G26" s="279"/>
      <c r="H26" s="279"/>
      <c r="I26" s="279"/>
      <c r="J26" s="279"/>
      <c r="K26" s="123">
        <f>(D25+0.85)*3.281</f>
        <v>2.7888500000000001</v>
      </c>
      <c r="L26" s="124"/>
      <c r="M26" s="124"/>
      <c r="N26" s="123" t="str">
        <f t="shared" si="1"/>
        <v/>
      </c>
      <c r="O26" s="123" t="str">
        <f t="shared" si="2"/>
        <v/>
      </c>
      <c r="P26" s="123" t="str">
        <f t="shared" si="3"/>
        <v/>
      </c>
      <c r="Q26" s="123" t="str">
        <f t="shared" si="4"/>
        <v/>
      </c>
      <c r="R26" s="123" t="str">
        <f t="shared" si="5"/>
        <v/>
      </c>
      <c r="S26" s="115"/>
      <c r="T26" s="116"/>
      <c r="U26" s="117"/>
      <c r="V26" s="118"/>
      <c r="W26" s="118"/>
      <c r="X26" s="115"/>
      <c r="Y26" s="115"/>
      <c r="Z26" s="115"/>
      <c r="AA26" s="116"/>
      <c r="AB26" s="117"/>
      <c r="AC26" s="118"/>
      <c r="AD26" s="119"/>
      <c r="AE26" s="119"/>
      <c r="AF26" s="119"/>
      <c r="AG26" s="119"/>
      <c r="AH26" s="119"/>
      <c r="AI26" s="120"/>
      <c r="AJ26" s="120"/>
    </row>
    <row r="27" spans="1:36" s="121" customFormat="1" ht="15" x14ac:dyDescent="0.25">
      <c r="A27" s="291"/>
      <c r="B27" s="287"/>
      <c r="C27" s="281"/>
      <c r="D27" s="281"/>
      <c r="E27" s="281"/>
      <c r="F27" s="281"/>
      <c r="G27" s="279"/>
      <c r="H27" s="279"/>
      <c r="I27" s="279"/>
      <c r="J27" s="279"/>
      <c r="K27" s="123">
        <f>(C25+0.6)*3.281</f>
        <v>1.9685999999999999</v>
      </c>
      <c r="L27" s="124"/>
      <c r="M27" s="124"/>
      <c r="N27" s="123" t="str">
        <f t="shared" si="1"/>
        <v/>
      </c>
      <c r="O27" s="123" t="str">
        <f t="shared" si="2"/>
        <v/>
      </c>
      <c r="P27" s="123" t="str">
        <f t="shared" si="3"/>
        <v/>
      </c>
      <c r="Q27" s="123" t="str">
        <f t="shared" si="4"/>
        <v/>
      </c>
      <c r="R27" s="123" t="str">
        <f t="shared" si="5"/>
        <v/>
      </c>
      <c r="S27" s="115"/>
      <c r="T27" s="116"/>
      <c r="U27" s="117"/>
      <c r="V27" s="118"/>
      <c r="W27" s="118"/>
      <c r="X27" s="115"/>
      <c r="Y27" s="115"/>
      <c r="Z27" s="115"/>
      <c r="AA27" s="116"/>
      <c r="AB27" s="117"/>
      <c r="AC27" s="118"/>
      <c r="AD27" s="119"/>
      <c r="AE27" s="119"/>
      <c r="AF27" s="119"/>
      <c r="AG27" s="119"/>
      <c r="AH27" s="119"/>
      <c r="AI27" s="120"/>
      <c r="AJ27" s="120"/>
    </row>
    <row r="28" spans="1:36" s="121" customFormat="1" ht="15" x14ac:dyDescent="0.25">
      <c r="A28" s="291"/>
      <c r="B28" s="287"/>
      <c r="C28" s="281"/>
      <c r="D28" s="281"/>
      <c r="E28" s="281"/>
      <c r="F28" s="281"/>
      <c r="G28" s="279"/>
      <c r="H28" s="279"/>
      <c r="I28" s="279"/>
      <c r="J28" s="279"/>
      <c r="K28" s="123">
        <f>(D25+0.85)*3.281</f>
        <v>2.7888500000000001</v>
      </c>
      <c r="L28" s="124"/>
      <c r="M28" s="124"/>
      <c r="N28" s="123" t="str">
        <f t="shared" si="1"/>
        <v/>
      </c>
      <c r="O28" s="123" t="str">
        <f t="shared" si="2"/>
        <v/>
      </c>
      <c r="P28" s="123" t="str">
        <f t="shared" si="3"/>
        <v/>
      </c>
      <c r="Q28" s="123" t="str">
        <f t="shared" si="4"/>
        <v/>
      </c>
      <c r="R28" s="123" t="str">
        <f t="shared" si="5"/>
        <v/>
      </c>
      <c r="S28" s="115"/>
      <c r="T28" s="116"/>
      <c r="U28" s="117"/>
      <c r="V28" s="118"/>
      <c r="W28" s="118"/>
      <c r="X28" s="115"/>
      <c r="Y28" s="115"/>
      <c r="Z28" s="115"/>
      <c r="AA28" s="116"/>
      <c r="AB28" s="117"/>
      <c r="AC28" s="118"/>
      <c r="AD28" s="119"/>
      <c r="AE28" s="119"/>
      <c r="AF28" s="119"/>
      <c r="AG28" s="119"/>
      <c r="AH28" s="119"/>
      <c r="AI28" s="120"/>
      <c r="AJ28" s="120"/>
    </row>
    <row r="29" spans="1:36" s="121" customFormat="1" ht="15" x14ac:dyDescent="0.25">
      <c r="A29" s="291"/>
      <c r="B29" s="287"/>
      <c r="C29" s="281"/>
      <c r="D29" s="281"/>
      <c r="E29" s="281"/>
      <c r="F29" s="281"/>
      <c r="G29" s="279">
        <f>C29*D29*E29</f>
        <v>0</v>
      </c>
      <c r="H29" s="279"/>
      <c r="I29" s="279">
        <f>C29*F29*2</f>
        <v>0</v>
      </c>
      <c r="J29" s="279">
        <f>C29*D29*F29</f>
        <v>0</v>
      </c>
      <c r="K29" s="123">
        <f>(C29+0.6)*3.281</f>
        <v>1.9685999999999999</v>
      </c>
      <c r="L29" s="124"/>
      <c r="M29" s="124"/>
      <c r="N29" s="123" t="str">
        <f t="shared" si="1"/>
        <v/>
      </c>
      <c r="O29" s="123" t="str">
        <f t="shared" si="2"/>
        <v/>
      </c>
      <c r="P29" s="123" t="str">
        <f t="shared" si="3"/>
        <v/>
      </c>
      <c r="Q29" s="123" t="str">
        <f t="shared" si="4"/>
        <v/>
      </c>
      <c r="R29" s="123" t="str">
        <f t="shared" si="5"/>
        <v/>
      </c>
      <c r="S29" s="115"/>
      <c r="T29" s="116"/>
      <c r="U29" s="117"/>
      <c r="V29" s="118"/>
      <c r="W29" s="118"/>
      <c r="X29" s="115"/>
      <c r="Y29" s="115"/>
      <c r="Z29" s="115"/>
      <c r="AA29" s="116"/>
      <c r="AB29" s="117"/>
      <c r="AC29" s="118"/>
      <c r="AD29" s="119"/>
      <c r="AE29" s="119"/>
      <c r="AF29" s="119"/>
      <c r="AG29" s="119"/>
      <c r="AH29" s="119"/>
      <c r="AI29" s="120"/>
      <c r="AJ29" s="120"/>
    </row>
    <row r="30" spans="1:36" s="121" customFormat="1" ht="15" x14ac:dyDescent="0.25">
      <c r="A30" s="291"/>
      <c r="B30" s="287"/>
      <c r="C30" s="281"/>
      <c r="D30" s="281"/>
      <c r="E30" s="281"/>
      <c r="F30" s="281"/>
      <c r="G30" s="279"/>
      <c r="H30" s="279"/>
      <c r="I30" s="279"/>
      <c r="J30" s="279"/>
      <c r="K30" s="123">
        <f>(D29+0.85)*3.281</f>
        <v>2.7888500000000001</v>
      </c>
      <c r="L30" s="124"/>
      <c r="M30" s="124"/>
      <c r="N30" s="123" t="str">
        <f t="shared" si="1"/>
        <v/>
      </c>
      <c r="O30" s="123" t="str">
        <f t="shared" si="2"/>
        <v/>
      </c>
      <c r="P30" s="123" t="str">
        <f t="shared" si="3"/>
        <v/>
      </c>
      <c r="Q30" s="123" t="str">
        <f t="shared" si="4"/>
        <v/>
      </c>
      <c r="R30" s="123" t="str">
        <f t="shared" si="5"/>
        <v/>
      </c>
      <c r="S30" s="115"/>
      <c r="T30" s="116"/>
      <c r="U30" s="117"/>
      <c r="V30" s="118"/>
      <c r="W30" s="118"/>
      <c r="X30" s="115"/>
      <c r="Y30" s="115"/>
      <c r="Z30" s="115"/>
      <c r="AA30" s="116"/>
      <c r="AB30" s="117"/>
      <c r="AC30" s="118"/>
      <c r="AD30" s="119"/>
      <c r="AE30" s="119"/>
      <c r="AF30" s="119"/>
      <c r="AG30" s="119"/>
      <c r="AH30" s="119"/>
      <c r="AI30" s="120"/>
      <c r="AJ30" s="120"/>
    </row>
    <row r="31" spans="1:36" s="121" customFormat="1" ht="15" x14ac:dyDescent="0.25">
      <c r="A31" s="291"/>
      <c r="B31" s="287"/>
      <c r="C31" s="281"/>
      <c r="D31" s="281"/>
      <c r="E31" s="281"/>
      <c r="F31" s="281"/>
      <c r="G31" s="279"/>
      <c r="H31" s="279"/>
      <c r="I31" s="279"/>
      <c r="J31" s="279"/>
      <c r="K31" s="123">
        <f>(C29+0.6)*3.281</f>
        <v>1.9685999999999999</v>
      </c>
      <c r="L31" s="124"/>
      <c r="M31" s="124"/>
      <c r="N31" s="123" t="str">
        <f t="shared" si="1"/>
        <v/>
      </c>
      <c r="O31" s="123" t="str">
        <f t="shared" si="2"/>
        <v/>
      </c>
      <c r="P31" s="123" t="str">
        <f t="shared" si="3"/>
        <v/>
      </c>
      <c r="Q31" s="123" t="str">
        <f t="shared" si="4"/>
        <v/>
      </c>
      <c r="R31" s="123" t="str">
        <f t="shared" si="5"/>
        <v/>
      </c>
      <c r="S31" s="115"/>
      <c r="T31" s="116"/>
      <c r="U31" s="117"/>
      <c r="V31" s="118"/>
      <c r="W31" s="118"/>
      <c r="X31" s="115"/>
      <c r="Y31" s="115"/>
      <c r="Z31" s="115"/>
      <c r="AA31" s="116"/>
      <c r="AB31" s="117"/>
      <c r="AC31" s="118"/>
      <c r="AD31" s="119"/>
      <c r="AE31" s="119"/>
      <c r="AF31" s="119"/>
      <c r="AG31" s="119"/>
      <c r="AH31" s="119"/>
      <c r="AI31" s="120"/>
      <c r="AJ31" s="120"/>
    </row>
    <row r="32" spans="1:36" s="121" customFormat="1" ht="15" x14ac:dyDescent="0.25">
      <c r="A32" s="291"/>
      <c r="B32" s="287"/>
      <c r="C32" s="281"/>
      <c r="D32" s="281"/>
      <c r="E32" s="281"/>
      <c r="F32" s="281"/>
      <c r="G32" s="279"/>
      <c r="H32" s="279"/>
      <c r="I32" s="279"/>
      <c r="J32" s="279"/>
      <c r="K32" s="123">
        <f>(D29+0.85)*3.281</f>
        <v>2.7888500000000001</v>
      </c>
      <c r="L32" s="124"/>
      <c r="M32" s="124"/>
      <c r="N32" s="123" t="str">
        <f t="shared" si="1"/>
        <v/>
      </c>
      <c r="O32" s="123" t="str">
        <f t="shared" si="2"/>
        <v/>
      </c>
      <c r="P32" s="123" t="str">
        <f t="shared" si="3"/>
        <v/>
      </c>
      <c r="Q32" s="123" t="str">
        <f t="shared" si="4"/>
        <v/>
      </c>
      <c r="R32" s="123" t="str">
        <f t="shared" si="5"/>
        <v/>
      </c>
      <c r="S32" s="115"/>
      <c r="T32" s="116"/>
      <c r="U32" s="117"/>
      <c r="V32" s="118"/>
      <c r="W32" s="118"/>
      <c r="X32" s="115"/>
      <c r="Y32" s="115"/>
      <c r="Z32" s="115"/>
      <c r="AA32" s="116"/>
      <c r="AB32" s="117"/>
      <c r="AC32" s="118"/>
      <c r="AD32" s="119"/>
      <c r="AE32" s="119"/>
      <c r="AF32" s="119"/>
      <c r="AG32" s="119"/>
      <c r="AH32" s="119"/>
      <c r="AI32" s="120"/>
      <c r="AJ32" s="120"/>
    </row>
    <row r="33" spans="1:36" s="121" customFormat="1" ht="15" x14ac:dyDescent="0.25">
      <c r="A33" s="291"/>
      <c r="B33" s="287"/>
      <c r="C33" s="281"/>
      <c r="D33" s="281"/>
      <c r="E33" s="281"/>
      <c r="F33" s="281"/>
      <c r="G33" s="279">
        <v>0</v>
      </c>
      <c r="H33" s="279"/>
      <c r="I33" s="279">
        <f>C33*D33*2</f>
        <v>0</v>
      </c>
      <c r="J33" s="279">
        <f>C33*D33*F33</f>
        <v>0</v>
      </c>
      <c r="K33" s="123">
        <f>(C33+0.6)*3.281</f>
        <v>1.9685999999999999</v>
      </c>
      <c r="L33" s="124"/>
      <c r="M33" s="124"/>
      <c r="N33" s="123" t="str">
        <f t="shared" si="1"/>
        <v/>
      </c>
      <c r="O33" s="123" t="str">
        <f t="shared" si="2"/>
        <v/>
      </c>
      <c r="P33" s="123" t="str">
        <f t="shared" si="3"/>
        <v/>
      </c>
      <c r="Q33" s="123" t="str">
        <f t="shared" si="4"/>
        <v/>
      </c>
      <c r="R33" s="123" t="str">
        <f t="shared" si="5"/>
        <v/>
      </c>
      <c r="S33" s="115"/>
      <c r="T33" s="116"/>
      <c r="U33" s="117"/>
      <c r="V33" s="118"/>
      <c r="W33" s="118"/>
      <c r="X33" s="115"/>
      <c r="Y33" s="115"/>
      <c r="Z33" s="115"/>
      <c r="AA33" s="116"/>
      <c r="AB33" s="117"/>
      <c r="AC33" s="118"/>
      <c r="AD33" s="119"/>
      <c r="AE33" s="119"/>
      <c r="AF33" s="119"/>
      <c r="AG33" s="119"/>
      <c r="AH33" s="119"/>
      <c r="AI33" s="120"/>
      <c r="AJ33" s="120"/>
    </row>
    <row r="34" spans="1:36" s="121" customFormat="1" ht="15" x14ac:dyDescent="0.25">
      <c r="A34" s="291"/>
      <c r="B34" s="287"/>
      <c r="C34" s="281"/>
      <c r="D34" s="281"/>
      <c r="E34" s="281"/>
      <c r="F34" s="281"/>
      <c r="G34" s="279"/>
      <c r="H34" s="279"/>
      <c r="I34" s="279"/>
      <c r="J34" s="279"/>
      <c r="K34" s="123">
        <f>(D33+0.85)*3.281</f>
        <v>2.7888500000000001</v>
      </c>
      <c r="L34" s="124"/>
      <c r="M34" s="124"/>
      <c r="N34" s="123" t="str">
        <f t="shared" si="1"/>
        <v/>
      </c>
      <c r="O34" s="123" t="str">
        <f t="shared" si="2"/>
        <v/>
      </c>
      <c r="P34" s="123" t="str">
        <f t="shared" si="3"/>
        <v/>
      </c>
      <c r="Q34" s="123" t="str">
        <f t="shared" si="4"/>
        <v/>
      </c>
      <c r="R34" s="123" t="str">
        <f t="shared" si="5"/>
        <v/>
      </c>
      <c r="S34" s="115"/>
      <c r="T34" s="116"/>
      <c r="U34" s="117"/>
      <c r="V34" s="118"/>
      <c r="W34" s="118"/>
      <c r="X34" s="115"/>
      <c r="Y34" s="115"/>
      <c r="Z34" s="115"/>
      <c r="AA34" s="116"/>
      <c r="AB34" s="117"/>
      <c r="AC34" s="118"/>
      <c r="AD34" s="119"/>
      <c r="AE34" s="119"/>
      <c r="AF34" s="119"/>
      <c r="AG34" s="119"/>
      <c r="AH34" s="119"/>
      <c r="AI34" s="120"/>
      <c r="AJ34" s="120"/>
    </row>
    <row r="35" spans="1:36" s="121" customFormat="1" ht="15" x14ac:dyDescent="0.25">
      <c r="A35" s="291"/>
      <c r="B35" s="287"/>
      <c r="C35" s="281"/>
      <c r="D35" s="281"/>
      <c r="E35" s="281"/>
      <c r="F35" s="281"/>
      <c r="G35" s="279"/>
      <c r="H35" s="279"/>
      <c r="I35" s="279"/>
      <c r="J35" s="279"/>
      <c r="K35" s="123">
        <f>(C33+0.6)*3.281</f>
        <v>1.9685999999999999</v>
      </c>
      <c r="L35" s="124"/>
      <c r="M35" s="124"/>
      <c r="N35" s="123" t="str">
        <f t="shared" si="1"/>
        <v/>
      </c>
      <c r="O35" s="123" t="str">
        <f t="shared" si="2"/>
        <v/>
      </c>
      <c r="P35" s="123" t="str">
        <f t="shared" si="3"/>
        <v/>
      </c>
      <c r="Q35" s="123" t="str">
        <f t="shared" si="4"/>
        <v/>
      </c>
      <c r="R35" s="123" t="str">
        <f t="shared" si="5"/>
        <v/>
      </c>
      <c r="S35" s="115"/>
      <c r="T35" s="116"/>
      <c r="U35" s="117"/>
      <c r="V35" s="118"/>
      <c r="W35" s="118"/>
      <c r="X35" s="115"/>
      <c r="Y35" s="115"/>
      <c r="Z35" s="115"/>
      <c r="AA35" s="116"/>
      <c r="AB35" s="117"/>
      <c r="AC35" s="118"/>
      <c r="AD35" s="119"/>
      <c r="AE35" s="119"/>
      <c r="AF35" s="119"/>
      <c r="AG35" s="119"/>
      <c r="AH35" s="119"/>
      <c r="AI35" s="120"/>
      <c r="AJ35" s="120"/>
    </row>
    <row r="36" spans="1:36" s="121" customFormat="1" ht="15" x14ac:dyDescent="0.25">
      <c r="A36" s="291"/>
      <c r="B36" s="287"/>
      <c r="C36" s="281"/>
      <c r="D36" s="281"/>
      <c r="E36" s="281"/>
      <c r="F36" s="281"/>
      <c r="G36" s="279"/>
      <c r="H36" s="279"/>
      <c r="I36" s="279"/>
      <c r="J36" s="279"/>
      <c r="K36" s="123">
        <f>(D33+0.85)*3.281</f>
        <v>2.7888500000000001</v>
      </c>
      <c r="L36" s="124"/>
      <c r="M36" s="124"/>
      <c r="N36" s="123" t="str">
        <f t="shared" si="1"/>
        <v/>
      </c>
      <c r="O36" s="123" t="str">
        <f t="shared" si="2"/>
        <v/>
      </c>
      <c r="P36" s="123" t="str">
        <f t="shared" si="3"/>
        <v/>
      </c>
      <c r="Q36" s="123" t="str">
        <f t="shared" si="4"/>
        <v/>
      </c>
      <c r="R36" s="123" t="str">
        <f t="shared" si="5"/>
        <v/>
      </c>
      <c r="S36" s="115"/>
      <c r="T36" s="116"/>
      <c r="U36" s="117"/>
      <c r="V36" s="118"/>
      <c r="W36" s="118"/>
      <c r="X36" s="115"/>
      <c r="Y36" s="115"/>
      <c r="Z36" s="115"/>
      <c r="AA36" s="116"/>
      <c r="AB36" s="117"/>
      <c r="AC36" s="118"/>
      <c r="AD36" s="119"/>
      <c r="AE36" s="119"/>
      <c r="AF36" s="119"/>
      <c r="AG36" s="119"/>
      <c r="AH36" s="119"/>
      <c r="AI36" s="120"/>
      <c r="AJ36" s="120"/>
    </row>
    <row r="37" spans="1:36" s="121" customFormat="1" ht="15" x14ac:dyDescent="0.25">
      <c r="A37" s="291"/>
      <c r="B37" s="287"/>
      <c r="C37" s="281"/>
      <c r="D37" s="281"/>
      <c r="E37" s="281"/>
      <c r="F37" s="281"/>
      <c r="G37" s="279">
        <f>C37*D37*E37</f>
        <v>0</v>
      </c>
      <c r="H37" s="279"/>
      <c r="I37" s="279">
        <f>C37*F37*2</f>
        <v>0</v>
      </c>
      <c r="J37" s="279">
        <f>C37*D37*F37</f>
        <v>0</v>
      </c>
      <c r="K37" s="123">
        <f>(C37+0.6)*3.281</f>
        <v>1.9685999999999999</v>
      </c>
      <c r="L37" s="124"/>
      <c r="M37" s="124"/>
      <c r="N37" s="123" t="str">
        <f t="shared" si="1"/>
        <v/>
      </c>
      <c r="O37" s="123" t="str">
        <f t="shared" si="2"/>
        <v/>
      </c>
      <c r="P37" s="123" t="str">
        <f t="shared" si="3"/>
        <v/>
      </c>
      <c r="Q37" s="123" t="str">
        <f t="shared" si="4"/>
        <v/>
      </c>
      <c r="R37" s="123" t="str">
        <f t="shared" si="5"/>
        <v/>
      </c>
      <c r="S37" s="115"/>
      <c r="T37" s="116"/>
      <c r="U37" s="117"/>
      <c r="V37" s="118"/>
      <c r="W37" s="118"/>
      <c r="X37" s="115"/>
      <c r="Y37" s="115"/>
      <c r="Z37" s="115"/>
      <c r="AA37" s="116"/>
      <c r="AB37" s="117"/>
      <c r="AC37" s="118"/>
      <c r="AD37" s="119"/>
      <c r="AE37" s="119"/>
      <c r="AF37" s="119"/>
      <c r="AG37" s="119"/>
      <c r="AH37" s="119"/>
      <c r="AI37" s="120"/>
      <c r="AJ37" s="120"/>
    </row>
    <row r="38" spans="1:36" s="121" customFormat="1" ht="15" x14ac:dyDescent="0.25">
      <c r="A38" s="291"/>
      <c r="B38" s="287"/>
      <c r="C38" s="281"/>
      <c r="D38" s="281"/>
      <c r="E38" s="281"/>
      <c r="F38" s="281"/>
      <c r="G38" s="279"/>
      <c r="H38" s="279"/>
      <c r="I38" s="279"/>
      <c r="J38" s="279"/>
      <c r="K38" s="123">
        <f>(D37+0.85)*3.281</f>
        <v>2.7888500000000001</v>
      </c>
      <c r="L38" s="124"/>
      <c r="M38" s="124"/>
      <c r="N38" s="123" t="str">
        <f t="shared" si="1"/>
        <v/>
      </c>
      <c r="O38" s="123" t="str">
        <f t="shared" si="2"/>
        <v/>
      </c>
      <c r="P38" s="123" t="str">
        <f t="shared" si="3"/>
        <v/>
      </c>
      <c r="Q38" s="123" t="str">
        <f t="shared" si="4"/>
        <v/>
      </c>
      <c r="R38" s="123" t="str">
        <f t="shared" si="5"/>
        <v/>
      </c>
      <c r="S38" s="115"/>
      <c r="T38" s="116"/>
      <c r="U38" s="117"/>
      <c r="V38" s="118"/>
      <c r="W38" s="118"/>
      <c r="X38" s="115"/>
      <c r="Y38" s="115"/>
      <c r="Z38" s="115"/>
      <c r="AA38" s="116"/>
      <c r="AB38" s="117"/>
      <c r="AC38" s="118"/>
      <c r="AD38" s="119"/>
      <c r="AE38" s="119"/>
      <c r="AF38" s="119"/>
      <c r="AG38" s="119"/>
      <c r="AH38" s="119"/>
      <c r="AI38" s="120"/>
      <c r="AJ38" s="120"/>
    </row>
    <row r="39" spans="1:36" s="121" customFormat="1" ht="15" x14ac:dyDescent="0.25">
      <c r="A39" s="291"/>
      <c r="B39" s="287"/>
      <c r="C39" s="281"/>
      <c r="D39" s="281"/>
      <c r="E39" s="281"/>
      <c r="F39" s="281"/>
      <c r="G39" s="279"/>
      <c r="H39" s="279"/>
      <c r="I39" s="279"/>
      <c r="J39" s="279"/>
      <c r="K39" s="123">
        <f>(C37+0.6)*3.281</f>
        <v>1.9685999999999999</v>
      </c>
      <c r="L39" s="124"/>
      <c r="M39" s="124"/>
      <c r="N39" s="123" t="str">
        <f t="shared" si="1"/>
        <v/>
      </c>
      <c r="O39" s="123" t="str">
        <f t="shared" si="2"/>
        <v/>
      </c>
      <c r="P39" s="123" t="str">
        <f t="shared" si="3"/>
        <v/>
      </c>
      <c r="Q39" s="123" t="str">
        <f t="shared" si="4"/>
        <v/>
      </c>
      <c r="R39" s="123" t="str">
        <f t="shared" si="5"/>
        <v/>
      </c>
      <c r="S39" s="115"/>
      <c r="T39" s="116"/>
      <c r="U39" s="117"/>
      <c r="V39" s="118"/>
      <c r="W39" s="118"/>
      <c r="X39" s="115"/>
      <c r="Y39" s="115"/>
      <c r="Z39" s="115"/>
      <c r="AA39" s="116"/>
      <c r="AB39" s="117"/>
      <c r="AC39" s="118"/>
      <c r="AD39" s="119"/>
      <c r="AE39" s="119"/>
      <c r="AF39" s="119"/>
      <c r="AG39" s="119"/>
      <c r="AH39" s="119"/>
      <c r="AI39" s="120"/>
      <c r="AJ39" s="120"/>
    </row>
    <row r="40" spans="1:36" s="121" customFormat="1" ht="15" x14ac:dyDescent="0.25">
      <c r="A40" s="291"/>
      <c r="B40" s="287"/>
      <c r="C40" s="281"/>
      <c r="D40" s="281"/>
      <c r="E40" s="281"/>
      <c r="F40" s="281"/>
      <c r="G40" s="279"/>
      <c r="H40" s="279"/>
      <c r="I40" s="279"/>
      <c r="J40" s="279"/>
      <c r="K40" s="123">
        <f>(D37+0.85)*3.281</f>
        <v>2.7888500000000001</v>
      </c>
      <c r="L40" s="124"/>
      <c r="M40" s="124"/>
      <c r="N40" s="123" t="str">
        <f t="shared" si="1"/>
        <v/>
      </c>
      <c r="O40" s="123" t="str">
        <f t="shared" si="2"/>
        <v/>
      </c>
      <c r="P40" s="123" t="str">
        <f t="shared" si="3"/>
        <v/>
      </c>
      <c r="Q40" s="123" t="str">
        <f t="shared" si="4"/>
        <v/>
      </c>
      <c r="R40" s="123" t="str">
        <f t="shared" si="5"/>
        <v/>
      </c>
      <c r="S40" s="115"/>
      <c r="T40" s="116"/>
      <c r="U40" s="117"/>
      <c r="V40" s="118"/>
      <c r="W40" s="118"/>
      <c r="X40" s="115"/>
      <c r="Y40" s="115"/>
      <c r="Z40" s="115"/>
      <c r="AA40" s="116"/>
      <c r="AB40" s="117"/>
      <c r="AC40" s="118"/>
      <c r="AD40" s="119"/>
      <c r="AE40" s="119"/>
      <c r="AF40" s="119"/>
      <c r="AG40" s="119"/>
      <c r="AH40" s="119"/>
      <c r="AI40" s="120"/>
      <c r="AJ40" s="120"/>
    </row>
    <row r="41" spans="1:36" s="121" customFormat="1" ht="15" x14ac:dyDescent="0.25">
      <c r="A41" s="291"/>
      <c r="B41" s="287"/>
      <c r="C41" s="281"/>
      <c r="D41" s="281"/>
      <c r="E41" s="281"/>
      <c r="F41" s="281"/>
      <c r="G41" s="279">
        <v>0</v>
      </c>
      <c r="H41" s="279"/>
      <c r="I41" s="279">
        <f>C41*D41*2</f>
        <v>0</v>
      </c>
      <c r="J41" s="279">
        <f>C41*D41*F41</f>
        <v>0</v>
      </c>
      <c r="K41" s="123">
        <f>(C41+0.6)*3.281</f>
        <v>1.9685999999999999</v>
      </c>
      <c r="L41" s="124"/>
      <c r="M41" s="124"/>
      <c r="N41" s="123" t="str">
        <f t="shared" si="1"/>
        <v/>
      </c>
      <c r="O41" s="123" t="str">
        <f t="shared" si="2"/>
        <v/>
      </c>
      <c r="P41" s="123" t="str">
        <f t="shared" si="3"/>
        <v/>
      </c>
      <c r="Q41" s="123" t="str">
        <f t="shared" si="4"/>
        <v/>
      </c>
      <c r="R41" s="123" t="str">
        <f t="shared" si="5"/>
        <v/>
      </c>
      <c r="S41" s="115"/>
      <c r="T41" s="116"/>
      <c r="U41" s="117"/>
      <c r="V41" s="118"/>
      <c r="W41" s="118"/>
      <c r="X41" s="115"/>
      <c r="Y41" s="115"/>
      <c r="Z41" s="115"/>
      <c r="AA41" s="116"/>
      <c r="AB41" s="117"/>
      <c r="AC41" s="118"/>
      <c r="AD41" s="119"/>
      <c r="AE41" s="119"/>
      <c r="AF41" s="119"/>
      <c r="AG41" s="119"/>
      <c r="AH41" s="119"/>
      <c r="AI41" s="120"/>
      <c r="AJ41" s="120"/>
    </row>
    <row r="42" spans="1:36" s="121" customFormat="1" ht="15" x14ac:dyDescent="0.25">
      <c r="A42" s="291"/>
      <c r="B42" s="287"/>
      <c r="C42" s="281"/>
      <c r="D42" s="281"/>
      <c r="E42" s="281"/>
      <c r="F42" s="281"/>
      <c r="G42" s="279"/>
      <c r="H42" s="279"/>
      <c r="I42" s="279"/>
      <c r="J42" s="279"/>
      <c r="K42" s="123">
        <f>(D41+0.85)*3.281</f>
        <v>2.7888500000000001</v>
      </c>
      <c r="L42" s="124"/>
      <c r="M42" s="124"/>
      <c r="N42" s="123" t="str">
        <f t="shared" si="1"/>
        <v/>
      </c>
      <c r="O42" s="123" t="str">
        <f t="shared" si="2"/>
        <v/>
      </c>
      <c r="P42" s="123" t="str">
        <f t="shared" si="3"/>
        <v/>
      </c>
      <c r="Q42" s="123" t="str">
        <f t="shared" si="4"/>
        <v/>
      </c>
      <c r="R42" s="123" t="str">
        <f t="shared" si="5"/>
        <v/>
      </c>
      <c r="S42" s="115"/>
      <c r="T42" s="116"/>
      <c r="U42" s="117"/>
      <c r="V42" s="118"/>
      <c r="W42" s="118"/>
      <c r="X42" s="115"/>
      <c r="Y42" s="115"/>
      <c r="Z42" s="115"/>
      <c r="AA42" s="116"/>
      <c r="AB42" s="117"/>
      <c r="AC42" s="118"/>
      <c r="AD42" s="119"/>
      <c r="AE42" s="119"/>
      <c r="AF42" s="119"/>
      <c r="AG42" s="119"/>
      <c r="AH42" s="119"/>
      <c r="AI42" s="120"/>
      <c r="AJ42" s="120"/>
    </row>
    <row r="43" spans="1:36" s="121" customFormat="1" ht="15" x14ac:dyDescent="0.25">
      <c r="A43" s="291"/>
      <c r="B43" s="287"/>
      <c r="C43" s="281"/>
      <c r="D43" s="281"/>
      <c r="E43" s="281"/>
      <c r="F43" s="281"/>
      <c r="G43" s="279"/>
      <c r="H43" s="279"/>
      <c r="I43" s="279"/>
      <c r="J43" s="279"/>
      <c r="K43" s="123">
        <f>(C41+0.6)*3.281</f>
        <v>1.9685999999999999</v>
      </c>
      <c r="L43" s="124"/>
      <c r="M43" s="124"/>
      <c r="N43" s="123" t="str">
        <f t="shared" si="1"/>
        <v/>
      </c>
      <c r="O43" s="123" t="str">
        <f t="shared" si="2"/>
        <v/>
      </c>
      <c r="P43" s="123" t="str">
        <f t="shared" si="3"/>
        <v/>
      </c>
      <c r="Q43" s="123" t="str">
        <f t="shared" si="4"/>
        <v/>
      </c>
      <c r="R43" s="123" t="str">
        <f t="shared" si="5"/>
        <v/>
      </c>
      <c r="S43" s="115"/>
      <c r="T43" s="116"/>
      <c r="U43" s="117"/>
      <c r="V43" s="118"/>
      <c r="W43" s="118"/>
      <c r="X43" s="115"/>
      <c r="Y43" s="115"/>
      <c r="Z43" s="115"/>
      <c r="AA43" s="116"/>
      <c r="AB43" s="117"/>
      <c r="AC43" s="118"/>
      <c r="AD43" s="119"/>
      <c r="AE43" s="119"/>
      <c r="AF43" s="119"/>
      <c r="AG43" s="119"/>
      <c r="AH43" s="119"/>
      <c r="AI43" s="120"/>
      <c r="AJ43" s="120"/>
    </row>
    <row r="44" spans="1:36" s="121" customFormat="1" ht="15" x14ac:dyDescent="0.25">
      <c r="A44" s="291"/>
      <c r="B44" s="287"/>
      <c r="C44" s="281"/>
      <c r="D44" s="281"/>
      <c r="E44" s="281"/>
      <c r="F44" s="281"/>
      <c r="G44" s="279"/>
      <c r="H44" s="279"/>
      <c r="I44" s="279"/>
      <c r="J44" s="279"/>
      <c r="K44" s="123">
        <f>(D41+0.85)*3.281</f>
        <v>2.7888500000000001</v>
      </c>
      <c r="L44" s="124"/>
      <c r="M44" s="124"/>
      <c r="N44" s="123" t="str">
        <f t="shared" si="1"/>
        <v/>
      </c>
      <c r="O44" s="123" t="str">
        <f t="shared" si="2"/>
        <v/>
      </c>
      <c r="P44" s="123" t="str">
        <f t="shared" si="3"/>
        <v/>
      </c>
      <c r="Q44" s="123" t="str">
        <f t="shared" si="4"/>
        <v/>
      </c>
      <c r="R44" s="123" t="str">
        <f t="shared" si="5"/>
        <v/>
      </c>
      <c r="S44" s="115"/>
      <c r="T44" s="116"/>
      <c r="U44" s="117"/>
      <c r="V44" s="118"/>
      <c r="W44" s="118"/>
      <c r="X44" s="115"/>
      <c r="Y44" s="115"/>
      <c r="Z44" s="115"/>
      <c r="AA44" s="116"/>
      <c r="AB44" s="117"/>
      <c r="AC44" s="118"/>
      <c r="AD44" s="119"/>
      <c r="AE44" s="119"/>
      <c r="AF44" s="119"/>
      <c r="AG44" s="119"/>
      <c r="AH44" s="119"/>
      <c r="AI44" s="120"/>
      <c r="AJ44" s="120"/>
    </row>
    <row r="45" spans="1:36" s="121" customFormat="1" ht="15" x14ac:dyDescent="0.25">
      <c r="A45" s="291"/>
      <c r="B45" s="287"/>
      <c r="C45" s="281"/>
      <c r="D45" s="281"/>
      <c r="E45" s="281"/>
      <c r="F45" s="281"/>
      <c r="G45" s="279">
        <f>C45*D45*E45</f>
        <v>0</v>
      </c>
      <c r="H45" s="279"/>
      <c r="I45" s="279">
        <f>C45*F45*2</f>
        <v>0</v>
      </c>
      <c r="J45" s="279">
        <f>C45*D45*F45</f>
        <v>0</v>
      </c>
      <c r="K45" s="123">
        <f>(C45+0.6)*3.281</f>
        <v>1.9685999999999999</v>
      </c>
      <c r="L45" s="124"/>
      <c r="M45" s="124"/>
      <c r="N45" s="123" t="str">
        <f t="shared" si="1"/>
        <v/>
      </c>
      <c r="O45" s="123" t="str">
        <f t="shared" si="2"/>
        <v/>
      </c>
      <c r="P45" s="123" t="str">
        <f t="shared" si="3"/>
        <v/>
      </c>
      <c r="Q45" s="123" t="str">
        <f t="shared" si="4"/>
        <v/>
      </c>
      <c r="R45" s="123" t="str">
        <f t="shared" si="5"/>
        <v/>
      </c>
      <c r="S45" s="115"/>
      <c r="T45" s="116"/>
      <c r="U45" s="117"/>
      <c r="V45" s="118"/>
      <c r="W45" s="118"/>
      <c r="X45" s="115"/>
      <c r="Y45" s="115"/>
      <c r="Z45" s="115"/>
      <c r="AA45" s="116"/>
      <c r="AB45" s="117"/>
      <c r="AC45" s="118"/>
      <c r="AD45" s="119"/>
      <c r="AE45" s="119"/>
      <c r="AF45" s="119"/>
      <c r="AG45" s="119"/>
      <c r="AH45" s="119"/>
      <c r="AI45" s="120"/>
      <c r="AJ45" s="120"/>
    </row>
    <row r="46" spans="1:36" s="121" customFormat="1" ht="15" x14ac:dyDescent="0.25">
      <c r="A46" s="291"/>
      <c r="B46" s="287"/>
      <c r="C46" s="281"/>
      <c r="D46" s="281"/>
      <c r="E46" s="281"/>
      <c r="F46" s="281"/>
      <c r="G46" s="279"/>
      <c r="H46" s="279"/>
      <c r="I46" s="279"/>
      <c r="J46" s="279"/>
      <c r="K46" s="123">
        <f>(D45+0.5)*3.281</f>
        <v>1.6405000000000001</v>
      </c>
      <c r="L46" s="124"/>
      <c r="M46" s="124"/>
      <c r="N46" s="123" t="str">
        <f t="shared" si="1"/>
        <v/>
      </c>
      <c r="O46" s="123" t="str">
        <f t="shared" si="2"/>
        <v/>
      </c>
      <c r="P46" s="123" t="str">
        <f t="shared" si="3"/>
        <v/>
      </c>
      <c r="Q46" s="123" t="str">
        <f t="shared" si="4"/>
        <v/>
      </c>
      <c r="R46" s="123" t="str">
        <f t="shared" si="5"/>
        <v/>
      </c>
      <c r="S46" s="115"/>
      <c r="T46" s="116"/>
      <c r="U46" s="117"/>
      <c r="V46" s="118"/>
      <c r="W46" s="118"/>
      <c r="X46" s="115"/>
      <c r="Y46" s="115"/>
      <c r="Z46" s="115"/>
      <c r="AA46" s="116"/>
      <c r="AB46" s="117"/>
      <c r="AC46" s="118"/>
      <c r="AD46" s="119"/>
      <c r="AE46" s="119"/>
      <c r="AF46" s="119"/>
      <c r="AG46" s="119"/>
      <c r="AH46" s="119"/>
      <c r="AI46" s="120"/>
      <c r="AJ46" s="120"/>
    </row>
    <row r="47" spans="1:36" s="121" customFormat="1" ht="15" x14ac:dyDescent="0.25">
      <c r="A47" s="291"/>
      <c r="B47" s="287"/>
      <c r="C47" s="281"/>
      <c r="D47" s="281"/>
      <c r="E47" s="281"/>
      <c r="F47" s="281"/>
      <c r="G47" s="279"/>
      <c r="H47" s="279"/>
      <c r="I47" s="279"/>
      <c r="J47" s="279"/>
      <c r="K47" s="123">
        <f>(C45+0.6)*3.281</f>
        <v>1.9685999999999999</v>
      </c>
      <c r="L47" s="124"/>
      <c r="M47" s="124"/>
      <c r="N47" s="123" t="str">
        <f t="shared" si="1"/>
        <v/>
      </c>
      <c r="O47" s="123" t="str">
        <f t="shared" si="2"/>
        <v/>
      </c>
      <c r="P47" s="123" t="str">
        <f t="shared" si="3"/>
        <v/>
      </c>
      <c r="Q47" s="123" t="str">
        <f t="shared" si="4"/>
        <v/>
      </c>
      <c r="R47" s="123" t="str">
        <f t="shared" si="5"/>
        <v/>
      </c>
      <c r="S47" s="115"/>
      <c r="T47" s="116"/>
      <c r="U47" s="117"/>
      <c r="V47" s="118"/>
      <c r="W47" s="118"/>
      <c r="X47" s="115"/>
      <c r="Y47" s="115"/>
      <c r="Z47" s="115"/>
      <c r="AA47" s="116"/>
      <c r="AB47" s="117"/>
      <c r="AC47" s="118"/>
      <c r="AD47" s="119"/>
      <c r="AE47" s="119"/>
      <c r="AF47" s="119"/>
      <c r="AG47" s="119"/>
      <c r="AH47" s="119"/>
      <c r="AI47" s="120"/>
      <c r="AJ47" s="120"/>
    </row>
    <row r="48" spans="1:36" s="121" customFormat="1" ht="15" x14ac:dyDescent="0.25">
      <c r="A48" s="291"/>
      <c r="B48" s="287"/>
      <c r="C48" s="281"/>
      <c r="D48" s="281"/>
      <c r="E48" s="281"/>
      <c r="F48" s="281"/>
      <c r="G48" s="279"/>
      <c r="H48" s="279"/>
      <c r="I48" s="279"/>
      <c r="J48" s="279"/>
      <c r="K48" s="123">
        <f>(D45+0.5)*3.281</f>
        <v>1.6405000000000001</v>
      </c>
      <c r="L48" s="124"/>
      <c r="M48" s="124"/>
      <c r="N48" s="123" t="str">
        <f t="shared" si="1"/>
        <v/>
      </c>
      <c r="O48" s="123" t="str">
        <f t="shared" si="2"/>
        <v/>
      </c>
      <c r="P48" s="123" t="str">
        <f t="shared" si="3"/>
        <v/>
      </c>
      <c r="Q48" s="123" t="str">
        <f t="shared" si="4"/>
        <v/>
      </c>
      <c r="R48" s="123" t="str">
        <f t="shared" si="5"/>
        <v/>
      </c>
      <c r="S48" s="115"/>
      <c r="T48" s="116"/>
      <c r="U48" s="117"/>
      <c r="V48" s="118"/>
      <c r="W48" s="118"/>
      <c r="X48" s="115"/>
      <c r="Y48" s="115"/>
      <c r="Z48" s="115"/>
      <c r="AA48" s="116"/>
      <c r="AB48" s="117"/>
      <c r="AC48" s="118"/>
      <c r="AD48" s="119"/>
      <c r="AE48" s="119"/>
      <c r="AF48" s="119"/>
      <c r="AG48" s="119"/>
      <c r="AH48" s="119"/>
      <c r="AI48" s="120"/>
      <c r="AJ48" s="120"/>
    </row>
    <row r="49" spans="1:36" s="121" customFormat="1" ht="15" x14ac:dyDescent="0.25">
      <c r="A49" s="291"/>
      <c r="B49" s="287"/>
      <c r="C49" s="281"/>
      <c r="D49" s="281"/>
      <c r="E49" s="281"/>
      <c r="F49" s="281"/>
      <c r="G49" s="279">
        <v>0</v>
      </c>
      <c r="H49" s="279"/>
      <c r="I49" s="279">
        <f>C49*D49*2</f>
        <v>0</v>
      </c>
      <c r="J49" s="279">
        <f>C49*D49*F49</f>
        <v>0</v>
      </c>
      <c r="K49" s="123">
        <f>(C49+0.6)*3.281</f>
        <v>1.9685999999999999</v>
      </c>
      <c r="L49" s="124"/>
      <c r="M49" s="124"/>
      <c r="N49" s="123" t="str">
        <f t="shared" si="1"/>
        <v/>
      </c>
      <c r="O49" s="123" t="str">
        <f t="shared" si="2"/>
        <v/>
      </c>
      <c r="P49" s="123" t="str">
        <f t="shared" si="3"/>
        <v/>
      </c>
      <c r="Q49" s="123" t="str">
        <f t="shared" si="4"/>
        <v/>
      </c>
      <c r="R49" s="123" t="str">
        <f t="shared" si="5"/>
        <v/>
      </c>
      <c r="S49" s="115"/>
      <c r="T49" s="116"/>
      <c r="U49" s="117"/>
      <c r="V49" s="118"/>
      <c r="W49" s="118"/>
      <c r="X49" s="115"/>
      <c r="Y49" s="115"/>
      <c r="Z49" s="115"/>
      <c r="AA49" s="116"/>
      <c r="AB49" s="117"/>
      <c r="AC49" s="118"/>
      <c r="AD49" s="119"/>
      <c r="AE49" s="119"/>
      <c r="AF49" s="119"/>
      <c r="AG49" s="119"/>
      <c r="AH49" s="119"/>
      <c r="AI49" s="120"/>
      <c r="AJ49" s="120"/>
    </row>
    <row r="50" spans="1:36" s="121" customFormat="1" ht="15" x14ac:dyDescent="0.25">
      <c r="A50" s="291"/>
      <c r="B50" s="287"/>
      <c r="C50" s="281"/>
      <c r="D50" s="281"/>
      <c r="E50" s="281"/>
      <c r="F50" s="281"/>
      <c r="G50" s="279"/>
      <c r="H50" s="279"/>
      <c r="I50" s="279"/>
      <c r="J50" s="279"/>
      <c r="K50" s="123">
        <f>(D49+0.85)*3.281</f>
        <v>2.7888500000000001</v>
      </c>
      <c r="L50" s="124"/>
      <c r="M50" s="124"/>
      <c r="N50" s="123" t="str">
        <f t="shared" si="1"/>
        <v/>
      </c>
      <c r="O50" s="123" t="str">
        <f t="shared" si="2"/>
        <v/>
      </c>
      <c r="P50" s="123" t="str">
        <f t="shared" si="3"/>
        <v/>
      </c>
      <c r="Q50" s="123" t="str">
        <f t="shared" si="4"/>
        <v/>
      </c>
      <c r="R50" s="123" t="str">
        <f t="shared" si="5"/>
        <v/>
      </c>
      <c r="S50" s="115"/>
      <c r="T50" s="116"/>
      <c r="U50" s="117"/>
      <c r="V50" s="118"/>
      <c r="W50" s="118"/>
      <c r="X50" s="115"/>
      <c r="Y50" s="115"/>
      <c r="Z50" s="115"/>
      <c r="AA50" s="116"/>
      <c r="AB50" s="117"/>
      <c r="AC50" s="118"/>
      <c r="AD50" s="119"/>
      <c r="AE50" s="119"/>
      <c r="AF50" s="119"/>
      <c r="AG50" s="119"/>
      <c r="AH50" s="119"/>
      <c r="AI50" s="120"/>
      <c r="AJ50" s="120"/>
    </row>
    <row r="51" spans="1:36" s="121" customFormat="1" ht="15" x14ac:dyDescent="0.25">
      <c r="A51" s="291"/>
      <c r="B51" s="287"/>
      <c r="C51" s="281"/>
      <c r="D51" s="281"/>
      <c r="E51" s="281"/>
      <c r="F51" s="281"/>
      <c r="G51" s="279"/>
      <c r="H51" s="279"/>
      <c r="I51" s="279"/>
      <c r="J51" s="279"/>
      <c r="K51" s="123">
        <f>(C49+0.6)*3.281</f>
        <v>1.9685999999999999</v>
      </c>
      <c r="L51" s="124"/>
      <c r="M51" s="124"/>
      <c r="N51" s="123" t="str">
        <f t="shared" si="1"/>
        <v/>
      </c>
      <c r="O51" s="123" t="str">
        <f t="shared" si="2"/>
        <v/>
      </c>
      <c r="P51" s="123" t="str">
        <f t="shared" si="3"/>
        <v/>
      </c>
      <c r="Q51" s="123" t="str">
        <f t="shared" si="4"/>
        <v/>
      </c>
      <c r="R51" s="123" t="str">
        <f t="shared" si="5"/>
        <v/>
      </c>
      <c r="S51" s="115"/>
      <c r="T51" s="116"/>
      <c r="U51" s="117"/>
      <c r="V51" s="118"/>
      <c r="W51" s="118"/>
      <c r="X51" s="115"/>
      <c r="Y51" s="115"/>
      <c r="Z51" s="115"/>
      <c r="AA51" s="116"/>
      <c r="AB51" s="117"/>
      <c r="AC51" s="118"/>
      <c r="AD51" s="119"/>
      <c r="AE51" s="119"/>
      <c r="AF51" s="119"/>
      <c r="AG51" s="119"/>
      <c r="AH51" s="119"/>
      <c r="AI51" s="120"/>
      <c r="AJ51" s="120"/>
    </row>
    <row r="52" spans="1:36" s="121" customFormat="1" ht="15" x14ac:dyDescent="0.25">
      <c r="A52" s="291"/>
      <c r="B52" s="287"/>
      <c r="C52" s="281"/>
      <c r="D52" s="281"/>
      <c r="E52" s="281"/>
      <c r="F52" s="281"/>
      <c r="G52" s="279"/>
      <c r="H52" s="279"/>
      <c r="I52" s="279"/>
      <c r="J52" s="279"/>
      <c r="K52" s="123">
        <f>(D49+0.85)*3.281</f>
        <v>2.7888500000000001</v>
      </c>
      <c r="L52" s="124"/>
      <c r="M52" s="124"/>
      <c r="N52" s="123" t="str">
        <f t="shared" si="1"/>
        <v/>
      </c>
      <c r="O52" s="123" t="str">
        <f t="shared" si="2"/>
        <v/>
      </c>
      <c r="P52" s="123" t="str">
        <f t="shared" si="3"/>
        <v/>
      </c>
      <c r="Q52" s="123" t="str">
        <f t="shared" si="4"/>
        <v/>
      </c>
      <c r="R52" s="123" t="str">
        <f t="shared" si="5"/>
        <v/>
      </c>
      <c r="S52" s="115"/>
      <c r="T52" s="116"/>
      <c r="U52" s="117"/>
      <c r="V52" s="118"/>
      <c r="W52" s="118"/>
      <c r="X52" s="115"/>
      <c r="Y52" s="115"/>
      <c r="Z52" s="115"/>
      <c r="AA52" s="116"/>
      <c r="AB52" s="117"/>
      <c r="AC52" s="118"/>
      <c r="AD52" s="119"/>
      <c r="AE52" s="119"/>
      <c r="AF52" s="119"/>
      <c r="AG52" s="119"/>
      <c r="AH52" s="119"/>
      <c r="AI52" s="120"/>
      <c r="AJ52" s="120"/>
    </row>
    <row r="53" spans="1:36" ht="15.75" x14ac:dyDescent="0.25">
      <c r="A53" s="166"/>
      <c r="B53" s="110"/>
      <c r="C53" s="110"/>
      <c r="D53" s="110"/>
      <c r="E53" s="110"/>
      <c r="F53" s="110"/>
      <c r="G53" s="127">
        <f>SUM(G5:G52)</f>
        <v>0</v>
      </c>
      <c r="H53" s="127">
        <f>SUM(H5:H52)</f>
        <v>0</v>
      </c>
      <c r="I53" s="127">
        <f>SUM(I5:I52)</f>
        <v>0</v>
      </c>
      <c r="J53" s="127">
        <f>SUM(J5:J52)</f>
        <v>0</v>
      </c>
      <c r="K53" s="128"/>
      <c r="L53" s="129"/>
      <c r="M53" s="128"/>
      <c r="N53" s="127">
        <f>SUM(N5:N52)</f>
        <v>0</v>
      </c>
      <c r="O53" s="127">
        <f>SUM(O5:O52)</f>
        <v>0</v>
      </c>
      <c r="P53" s="127">
        <f>SUM(P5:P52)</f>
        <v>0</v>
      </c>
      <c r="Q53" s="127">
        <f>SUM(Q5:Q52)</f>
        <v>0</v>
      </c>
      <c r="R53" s="127">
        <f>SUM(R5:R52)</f>
        <v>0</v>
      </c>
      <c r="S53" s="109"/>
      <c r="T53" s="106"/>
      <c r="U53" s="107"/>
      <c r="V53" s="108"/>
      <c r="W53" s="108"/>
      <c r="X53" s="109"/>
      <c r="Y53" s="109"/>
      <c r="Z53" s="109"/>
      <c r="AA53" s="106"/>
      <c r="AB53" s="107"/>
      <c r="AC53" s="108"/>
      <c r="AD53" s="110"/>
      <c r="AE53" s="110"/>
      <c r="AF53" s="110"/>
      <c r="AG53" s="110"/>
      <c r="AH53" s="110"/>
      <c r="AI53" s="111"/>
      <c r="AJ53" s="111"/>
    </row>
    <row r="54" spans="1:36" x14ac:dyDescent="0.2">
      <c r="A54" s="167"/>
      <c r="B54" s="111"/>
      <c r="C54" s="111"/>
      <c r="D54" s="111"/>
      <c r="E54" s="111"/>
      <c r="F54" s="111"/>
      <c r="G54" s="111"/>
      <c r="H54" s="148"/>
      <c r="I54" s="148"/>
      <c r="J54" s="148"/>
      <c r="K54" s="148"/>
      <c r="L54" s="148"/>
      <c r="M54" s="111"/>
      <c r="N54" s="111"/>
      <c r="O54" s="111"/>
      <c r="P54" s="111"/>
      <c r="Q54" s="111"/>
      <c r="R54" s="111"/>
      <c r="S54" s="139"/>
      <c r="T54" s="139"/>
      <c r="U54" s="139"/>
      <c r="V54" s="139"/>
      <c r="W54" s="140"/>
      <c r="Y54" s="141"/>
      <c r="Z54" s="141"/>
    </row>
    <row r="55" spans="1:36" x14ac:dyDescent="0.2">
      <c r="A55" s="167"/>
      <c r="B55" s="111"/>
      <c r="C55" s="111"/>
      <c r="D55" s="111"/>
      <c r="E55" s="111"/>
      <c r="F55" s="111"/>
      <c r="G55" s="111"/>
      <c r="H55" s="148"/>
      <c r="I55" s="148"/>
      <c r="J55" s="148"/>
      <c r="K55" s="148"/>
      <c r="L55" s="148"/>
      <c r="M55" s="111"/>
      <c r="N55" s="111"/>
      <c r="O55" s="111"/>
      <c r="P55" s="111"/>
      <c r="Q55" s="111"/>
      <c r="R55" s="111"/>
      <c r="S55" s="139"/>
      <c r="T55" s="139"/>
      <c r="U55" s="139"/>
      <c r="V55" s="139"/>
      <c r="W55" s="140"/>
      <c r="Y55" s="141"/>
      <c r="Z55" s="141"/>
    </row>
    <row r="56" spans="1:36" x14ac:dyDescent="0.2">
      <c r="A56" s="167"/>
      <c r="H56" s="138"/>
      <c r="I56" s="138"/>
      <c r="J56" s="138"/>
      <c r="K56" s="138"/>
      <c r="L56" s="138"/>
      <c r="M56" s="140"/>
      <c r="N56" s="140"/>
      <c r="O56" s="140"/>
      <c r="P56" s="140"/>
      <c r="Q56" s="140"/>
      <c r="R56" s="140"/>
      <c r="S56" s="139"/>
      <c r="T56" s="139"/>
      <c r="U56" s="139"/>
      <c r="V56" s="139"/>
      <c r="W56" s="140"/>
      <c r="Y56" s="141"/>
      <c r="Z56" s="141"/>
    </row>
    <row r="57" spans="1:36" x14ac:dyDescent="0.2">
      <c r="A57" s="167"/>
      <c r="H57" s="138"/>
      <c r="I57" s="138"/>
      <c r="J57" s="138"/>
      <c r="K57" s="138"/>
      <c r="L57" s="138"/>
      <c r="S57" s="139"/>
      <c r="T57" s="139"/>
      <c r="U57" s="139"/>
      <c r="V57" s="139"/>
      <c r="W57" s="140"/>
      <c r="Y57" s="141"/>
      <c r="Z57" s="141"/>
    </row>
    <row r="58" spans="1:36" x14ac:dyDescent="0.2">
      <c r="A58" s="167"/>
      <c r="H58" s="138"/>
      <c r="I58" s="138"/>
      <c r="J58" s="138"/>
      <c r="K58" s="138"/>
      <c r="L58" s="138"/>
      <c r="S58" s="139"/>
      <c r="T58" s="139"/>
      <c r="U58" s="141"/>
      <c r="V58" s="140"/>
      <c r="X58" s="141"/>
      <c r="Y58" s="141"/>
    </row>
    <row r="59" spans="1:36" s="121" customFormat="1" ht="15" x14ac:dyDescent="0.25">
      <c r="A59" s="291"/>
      <c r="B59" s="287"/>
      <c r="C59" s="281"/>
      <c r="D59" s="281"/>
      <c r="E59" s="281"/>
      <c r="F59" s="281"/>
      <c r="G59" s="279">
        <f>C59*D59*E59</f>
        <v>0</v>
      </c>
      <c r="H59" s="279"/>
      <c r="I59" s="279">
        <f>(C59+C59+D59+D59)*F59</f>
        <v>0</v>
      </c>
      <c r="J59" s="279">
        <f>C59*D59*F59</f>
        <v>0</v>
      </c>
      <c r="K59" s="123">
        <f>(C59+0.6)*3.281</f>
        <v>1.9685999999999999</v>
      </c>
      <c r="L59" s="124"/>
      <c r="M59" s="124"/>
      <c r="N59" s="123" t="str">
        <f t="shared" ref="N59:N80" si="6">+IF(L59=3,M59*K59*0.378,"")</f>
        <v/>
      </c>
      <c r="O59" s="123" t="str">
        <f t="shared" ref="O59:O80" si="7">+IF(L59=4,M59*K59*0.668,"")</f>
        <v/>
      </c>
      <c r="P59" s="123" t="str">
        <f t="shared" ref="P59:P80" si="8">+IF(L59=5,M59*K59*1.043,"")</f>
        <v/>
      </c>
      <c r="Q59" s="123" t="str">
        <f t="shared" ref="Q59:Q80" si="9">+IF(L59=6,K59*M59*1.503,"")</f>
        <v/>
      </c>
      <c r="R59" s="123" t="str">
        <f t="shared" ref="R59:R80" si="10">+IF(L59=7,K59*M59*2.044,"")</f>
        <v/>
      </c>
      <c r="S59" s="115"/>
      <c r="T59" s="116"/>
      <c r="U59" s="117"/>
      <c r="V59" s="118"/>
      <c r="W59" s="118"/>
      <c r="X59" s="115"/>
      <c r="Y59" s="115"/>
      <c r="Z59" s="115"/>
      <c r="AA59" s="116"/>
      <c r="AB59" s="117"/>
      <c r="AC59" s="118"/>
      <c r="AD59" s="119"/>
      <c r="AE59" s="119"/>
      <c r="AF59" s="119"/>
      <c r="AG59" s="119"/>
      <c r="AH59" s="119"/>
      <c r="AI59" s="120"/>
      <c r="AJ59" s="120"/>
    </row>
    <row r="60" spans="1:36" s="121" customFormat="1" ht="15" x14ac:dyDescent="0.25">
      <c r="A60" s="291"/>
      <c r="B60" s="287"/>
      <c r="C60" s="281"/>
      <c r="D60" s="281"/>
      <c r="E60" s="281"/>
      <c r="F60" s="281"/>
      <c r="G60" s="279"/>
      <c r="H60" s="279"/>
      <c r="I60" s="279"/>
      <c r="J60" s="279"/>
      <c r="K60" s="123">
        <f>(D59+0.6)*3.281</f>
        <v>1.9685999999999999</v>
      </c>
      <c r="L60" s="124"/>
      <c r="M60" s="124"/>
      <c r="N60" s="123" t="str">
        <f t="shared" si="6"/>
        <v/>
      </c>
      <c r="O60" s="123" t="str">
        <f t="shared" si="7"/>
        <v/>
      </c>
      <c r="P60" s="123" t="str">
        <f t="shared" si="8"/>
        <v/>
      </c>
      <c r="Q60" s="123" t="str">
        <f t="shared" si="9"/>
        <v/>
      </c>
      <c r="R60" s="123" t="str">
        <f t="shared" si="10"/>
        <v/>
      </c>
      <c r="S60" s="115"/>
      <c r="T60" s="116"/>
      <c r="U60" s="117"/>
      <c r="V60" s="118"/>
      <c r="W60" s="118"/>
      <c r="X60" s="115"/>
      <c r="Y60" s="115"/>
      <c r="Z60" s="115"/>
      <c r="AA60" s="116"/>
      <c r="AB60" s="117"/>
      <c r="AC60" s="118"/>
      <c r="AD60" s="119"/>
      <c r="AE60" s="119"/>
      <c r="AF60" s="119"/>
      <c r="AG60" s="119"/>
      <c r="AH60" s="119"/>
      <c r="AI60" s="120"/>
      <c r="AJ60" s="120"/>
    </row>
    <row r="61" spans="1:36" s="121" customFormat="1" ht="15" x14ac:dyDescent="0.25">
      <c r="A61" s="291"/>
      <c r="B61" s="287"/>
      <c r="C61" s="281"/>
      <c r="D61" s="281"/>
      <c r="E61" s="281"/>
      <c r="F61" s="281"/>
      <c r="G61" s="279"/>
      <c r="H61" s="279"/>
      <c r="I61" s="279"/>
      <c r="J61" s="279"/>
      <c r="K61" s="123">
        <f>(C59+0.6)*3.281</f>
        <v>1.9685999999999999</v>
      </c>
      <c r="L61" s="124"/>
      <c r="M61" s="124"/>
      <c r="N61" s="123" t="str">
        <f t="shared" si="6"/>
        <v/>
      </c>
      <c r="O61" s="123" t="str">
        <f t="shared" si="7"/>
        <v/>
      </c>
      <c r="P61" s="123" t="str">
        <f t="shared" si="8"/>
        <v/>
      </c>
      <c r="Q61" s="123" t="str">
        <f t="shared" si="9"/>
        <v/>
      </c>
      <c r="R61" s="123" t="str">
        <f t="shared" si="10"/>
        <v/>
      </c>
      <c r="S61" s="115"/>
      <c r="T61" s="116"/>
      <c r="U61" s="117"/>
      <c r="V61" s="118"/>
      <c r="W61" s="118"/>
      <c r="X61" s="115"/>
      <c r="Y61" s="115"/>
      <c r="Z61" s="115"/>
      <c r="AA61" s="116"/>
      <c r="AB61" s="117"/>
      <c r="AC61" s="118"/>
      <c r="AD61" s="119"/>
      <c r="AE61" s="119"/>
      <c r="AF61" s="119"/>
      <c r="AG61" s="119"/>
      <c r="AH61" s="119"/>
      <c r="AI61" s="120"/>
      <c r="AJ61" s="120"/>
    </row>
    <row r="62" spans="1:36" s="121" customFormat="1" ht="15" x14ac:dyDescent="0.25">
      <c r="A62" s="291"/>
      <c r="B62" s="287"/>
      <c r="C62" s="281"/>
      <c r="D62" s="281"/>
      <c r="E62" s="281"/>
      <c r="F62" s="281"/>
      <c r="G62" s="279"/>
      <c r="H62" s="279"/>
      <c r="I62" s="279"/>
      <c r="J62" s="279"/>
      <c r="K62" s="123">
        <f>(D59+0.6)*3.281</f>
        <v>1.9685999999999999</v>
      </c>
      <c r="L62" s="124"/>
      <c r="M62" s="124"/>
      <c r="N62" s="123" t="str">
        <f t="shared" si="6"/>
        <v/>
      </c>
      <c r="O62" s="123" t="str">
        <f t="shared" si="7"/>
        <v/>
      </c>
      <c r="P62" s="123" t="str">
        <f t="shared" si="8"/>
        <v/>
      </c>
      <c r="Q62" s="123" t="str">
        <f t="shared" si="9"/>
        <v/>
      </c>
      <c r="R62" s="123" t="str">
        <f t="shared" si="10"/>
        <v/>
      </c>
      <c r="S62" s="115"/>
      <c r="T62" s="116"/>
      <c r="U62" s="117"/>
      <c r="V62" s="118"/>
      <c r="W62" s="118"/>
      <c r="X62" s="115"/>
      <c r="Y62" s="115"/>
      <c r="Z62" s="115"/>
      <c r="AA62" s="116"/>
      <c r="AB62" s="117"/>
      <c r="AC62" s="118"/>
      <c r="AD62" s="119"/>
      <c r="AE62" s="119"/>
      <c r="AF62" s="119"/>
      <c r="AG62" s="119"/>
      <c r="AH62" s="119"/>
      <c r="AI62" s="120"/>
      <c r="AJ62" s="120"/>
    </row>
    <row r="63" spans="1:36" s="121" customFormat="1" ht="15" x14ac:dyDescent="0.25">
      <c r="A63" s="291"/>
      <c r="B63" s="287"/>
      <c r="C63" s="281"/>
      <c r="D63" s="281"/>
      <c r="E63" s="281"/>
      <c r="F63" s="281"/>
      <c r="G63" s="279">
        <v>0</v>
      </c>
      <c r="H63" s="279"/>
      <c r="I63" s="279">
        <f>C63*D63*2</f>
        <v>0</v>
      </c>
      <c r="J63" s="279">
        <f>C63*D63*F63+4.8*D63*F63</f>
        <v>0</v>
      </c>
      <c r="K63" s="123">
        <f>(C63+0.6)*3.281</f>
        <v>1.9685999999999999</v>
      </c>
      <c r="L63" s="124"/>
      <c r="M63" s="124"/>
      <c r="N63" s="123" t="str">
        <f t="shared" si="6"/>
        <v/>
      </c>
      <c r="O63" s="123" t="str">
        <f t="shared" si="7"/>
        <v/>
      </c>
      <c r="P63" s="123" t="str">
        <f t="shared" si="8"/>
        <v/>
      </c>
      <c r="Q63" s="123" t="str">
        <f t="shared" si="9"/>
        <v/>
      </c>
      <c r="R63" s="123" t="str">
        <f t="shared" si="10"/>
        <v/>
      </c>
      <c r="S63" s="115"/>
      <c r="T63" s="116"/>
      <c r="U63" s="117"/>
      <c r="V63" s="118"/>
      <c r="W63" s="118"/>
      <c r="X63" s="115"/>
      <c r="Y63" s="115"/>
      <c r="Z63" s="115"/>
      <c r="AA63" s="116"/>
      <c r="AB63" s="117"/>
      <c r="AC63" s="118"/>
      <c r="AD63" s="119"/>
      <c r="AE63" s="119"/>
      <c r="AF63" s="119"/>
      <c r="AG63" s="119"/>
      <c r="AH63" s="119"/>
      <c r="AI63" s="120"/>
      <c r="AJ63" s="120"/>
    </row>
    <row r="64" spans="1:36" s="121" customFormat="1" ht="15" x14ac:dyDescent="0.25">
      <c r="A64" s="291"/>
      <c r="B64" s="287"/>
      <c r="C64" s="281"/>
      <c r="D64" s="281"/>
      <c r="E64" s="281"/>
      <c r="F64" s="281"/>
      <c r="G64" s="279"/>
      <c r="H64" s="279"/>
      <c r="I64" s="279"/>
      <c r="J64" s="279"/>
      <c r="K64" s="123">
        <f>(D63+0.6)*3.281</f>
        <v>1.9685999999999999</v>
      </c>
      <c r="L64" s="124"/>
      <c r="M64" s="124"/>
      <c r="N64" s="123" t="str">
        <f t="shared" si="6"/>
        <v/>
      </c>
      <c r="O64" s="123" t="str">
        <f t="shared" si="7"/>
        <v/>
      </c>
      <c r="P64" s="123" t="str">
        <f t="shared" si="8"/>
        <v/>
      </c>
      <c r="Q64" s="123" t="str">
        <f t="shared" si="9"/>
        <v/>
      </c>
      <c r="R64" s="123" t="str">
        <f t="shared" si="10"/>
        <v/>
      </c>
      <c r="S64" s="115"/>
      <c r="T64" s="116"/>
      <c r="U64" s="117"/>
      <c r="V64" s="118"/>
      <c r="W64" s="118"/>
      <c r="X64" s="115"/>
      <c r="Y64" s="115"/>
      <c r="Z64" s="115"/>
      <c r="AA64" s="116"/>
      <c r="AB64" s="117"/>
      <c r="AC64" s="118"/>
      <c r="AD64" s="119"/>
      <c r="AE64" s="119"/>
      <c r="AF64" s="119"/>
      <c r="AG64" s="119"/>
      <c r="AH64" s="119"/>
      <c r="AI64" s="120"/>
      <c r="AJ64" s="120"/>
    </row>
    <row r="65" spans="1:36" s="121" customFormat="1" ht="15" x14ac:dyDescent="0.25">
      <c r="A65" s="291"/>
      <c r="B65" s="287"/>
      <c r="C65" s="281"/>
      <c r="D65" s="281"/>
      <c r="E65" s="281"/>
      <c r="F65" s="281"/>
      <c r="G65" s="279"/>
      <c r="H65" s="279"/>
      <c r="I65" s="279"/>
      <c r="J65" s="279"/>
      <c r="K65" s="123">
        <f>(4.8+0.4)*3.281</f>
        <v>17.061200000000003</v>
      </c>
      <c r="L65" s="124"/>
      <c r="M65" s="124"/>
      <c r="N65" s="123" t="str">
        <f>+IF(L65=3,M65*K65*0.378,"")</f>
        <v/>
      </c>
      <c r="O65" s="123" t="str">
        <f>+IF(L65=4,M65*K65*0.668,"")</f>
        <v/>
      </c>
      <c r="P65" s="123" t="str">
        <f>+IF(L65=5,M65*K65*1.043,"")</f>
        <v/>
      </c>
      <c r="Q65" s="123" t="str">
        <f>+IF(L65=6,K65*M65*1.503,"")</f>
        <v/>
      </c>
      <c r="R65" s="123" t="str">
        <f>+IF(L65=7,K65*M65*2.044,"")</f>
        <v/>
      </c>
      <c r="S65" s="115"/>
      <c r="T65" s="116"/>
      <c r="U65" s="117"/>
      <c r="V65" s="118"/>
      <c r="W65" s="118"/>
      <c r="X65" s="115"/>
      <c r="Y65" s="115"/>
      <c r="Z65" s="115"/>
      <c r="AA65" s="116"/>
      <c r="AB65" s="117"/>
      <c r="AC65" s="118"/>
      <c r="AD65" s="119"/>
      <c r="AE65" s="119"/>
      <c r="AF65" s="119"/>
      <c r="AG65" s="119"/>
      <c r="AH65" s="119"/>
      <c r="AI65" s="120"/>
      <c r="AJ65" s="120"/>
    </row>
    <row r="66" spans="1:36" s="121" customFormat="1" ht="15" x14ac:dyDescent="0.25">
      <c r="A66" s="291"/>
      <c r="B66" s="287"/>
      <c r="C66" s="281"/>
      <c r="D66" s="281"/>
      <c r="E66" s="281"/>
      <c r="F66" s="281"/>
      <c r="G66" s="279"/>
      <c r="H66" s="279"/>
      <c r="I66" s="279"/>
      <c r="J66" s="279"/>
      <c r="K66" s="123">
        <f>(D63+0.85)*3.281</f>
        <v>2.7888500000000001</v>
      </c>
      <c r="L66" s="124"/>
      <c r="M66" s="124"/>
      <c r="N66" s="123" t="str">
        <f>+IF(L66=3,M66*K66*0.378,"")</f>
        <v/>
      </c>
      <c r="O66" s="123" t="str">
        <f>+IF(L66=4,M66*K66*0.668,"")</f>
        <v/>
      </c>
      <c r="P66" s="123" t="str">
        <f>+IF(L66=5,M66*K66*1.043,"")</f>
        <v/>
      </c>
      <c r="Q66" s="123" t="str">
        <f>+IF(L66=6,K66*M66*1.503,"")</f>
        <v/>
      </c>
      <c r="R66" s="123" t="str">
        <f>+IF(L66=7,K66*M66*2.044,"")</f>
        <v/>
      </c>
      <c r="S66" s="115"/>
      <c r="T66" s="116"/>
      <c r="U66" s="117"/>
      <c r="V66" s="118"/>
      <c r="W66" s="118"/>
      <c r="X66" s="115"/>
      <c r="Y66" s="115"/>
      <c r="Z66" s="115"/>
      <c r="AA66" s="116"/>
      <c r="AB66" s="117"/>
      <c r="AC66" s="118"/>
      <c r="AD66" s="119"/>
      <c r="AE66" s="119"/>
      <c r="AF66" s="119"/>
      <c r="AG66" s="119"/>
      <c r="AH66" s="119"/>
      <c r="AI66" s="120"/>
      <c r="AJ66" s="120"/>
    </row>
    <row r="67" spans="1:36" s="121" customFormat="1" ht="15" x14ac:dyDescent="0.25">
      <c r="A67" s="291"/>
      <c r="B67" s="287"/>
      <c r="C67" s="281"/>
      <c r="D67" s="281"/>
      <c r="E67" s="281"/>
      <c r="F67" s="281"/>
      <c r="G67" s="279"/>
      <c r="H67" s="279"/>
      <c r="I67" s="279"/>
      <c r="J67" s="279"/>
      <c r="K67" s="123">
        <f>(C63+0.6)*3.281</f>
        <v>1.9685999999999999</v>
      </c>
      <c r="L67" s="124"/>
      <c r="M67" s="124"/>
      <c r="N67" s="123" t="str">
        <f t="shared" si="6"/>
        <v/>
      </c>
      <c r="O67" s="123" t="str">
        <f t="shared" si="7"/>
        <v/>
      </c>
      <c r="P67" s="123" t="str">
        <f t="shared" si="8"/>
        <v/>
      </c>
      <c r="Q67" s="123" t="str">
        <f t="shared" si="9"/>
        <v/>
      </c>
      <c r="R67" s="123" t="str">
        <f t="shared" si="10"/>
        <v/>
      </c>
      <c r="S67" s="115"/>
      <c r="T67" s="116"/>
      <c r="U67" s="117"/>
      <c r="V67" s="118"/>
      <c r="W67" s="118"/>
      <c r="X67" s="115"/>
      <c r="Y67" s="115"/>
      <c r="Z67" s="115"/>
      <c r="AA67" s="116"/>
      <c r="AB67" s="117"/>
      <c r="AC67" s="118"/>
      <c r="AD67" s="119"/>
      <c r="AE67" s="119"/>
      <c r="AF67" s="119"/>
      <c r="AG67" s="119"/>
      <c r="AH67" s="119"/>
      <c r="AI67" s="120"/>
      <c r="AJ67" s="120"/>
    </row>
    <row r="68" spans="1:36" s="121" customFormat="1" ht="15" x14ac:dyDescent="0.25">
      <c r="A68" s="291"/>
      <c r="B68" s="287"/>
      <c r="C68" s="281"/>
      <c r="D68" s="281"/>
      <c r="E68" s="281"/>
      <c r="F68" s="281"/>
      <c r="G68" s="279"/>
      <c r="H68" s="279"/>
      <c r="I68" s="279"/>
      <c r="J68" s="279"/>
      <c r="K68" s="123">
        <f>(D63+0.6)*3.281</f>
        <v>1.9685999999999999</v>
      </c>
      <c r="L68" s="124"/>
      <c r="M68" s="124"/>
      <c r="N68" s="123" t="str">
        <f t="shared" si="6"/>
        <v/>
      </c>
      <c r="O68" s="123" t="str">
        <f t="shared" si="7"/>
        <v/>
      </c>
      <c r="P68" s="123" t="str">
        <f t="shared" si="8"/>
        <v/>
      </c>
      <c r="Q68" s="123" t="str">
        <f t="shared" si="9"/>
        <v/>
      </c>
      <c r="R68" s="123" t="str">
        <f t="shared" si="10"/>
        <v/>
      </c>
      <c r="S68" s="115"/>
      <c r="T68" s="116"/>
      <c r="U68" s="117"/>
      <c r="V68" s="118"/>
      <c r="W68" s="118"/>
      <c r="X68" s="115"/>
      <c r="Y68" s="115"/>
      <c r="Z68" s="115"/>
      <c r="AA68" s="116"/>
      <c r="AB68" s="117"/>
      <c r="AC68" s="118"/>
      <c r="AD68" s="119"/>
      <c r="AE68" s="119"/>
      <c r="AF68" s="119"/>
      <c r="AG68" s="119"/>
      <c r="AH68" s="119"/>
      <c r="AI68" s="120"/>
      <c r="AJ68" s="120"/>
    </row>
    <row r="69" spans="1:36" s="121" customFormat="1" ht="15" x14ac:dyDescent="0.25">
      <c r="A69" s="291"/>
      <c r="B69" s="287"/>
      <c r="C69" s="281"/>
      <c r="D69" s="281"/>
      <c r="E69" s="281"/>
      <c r="F69" s="281"/>
      <c r="G69" s="279">
        <f>C69*D69*E69</f>
        <v>0</v>
      </c>
      <c r="H69" s="279"/>
      <c r="I69" s="279">
        <f>(C69+C69+D69+D69)*F69</f>
        <v>0</v>
      </c>
      <c r="J69" s="279">
        <f>C69*D69*F69</f>
        <v>0</v>
      </c>
      <c r="K69" s="123">
        <f>(C69+0.6)*3.281</f>
        <v>1.9685999999999999</v>
      </c>
      <c r="L69" s="124"/>
      <c r="M69" s="124"/>
      <c r="N69" s="123" t="str">
        <f t="shared" si="6"/>
        <v/>
      </c>
      <c r="O69" s="123" t="str">
        <f t="shared" si="7"/>
        <v/>
      </c>
      <c r="P69" s="123" t="str">
        <f t="shared" si="8"/>
        <v/>
      </c>
      <c r="Q69" s="123" t="str">
        <f t="shared" si="9"/>
        <v/>
      </c>
      <c r="R69" s="123" t="str">
        <f t="shared" si="10"/>
        <v/>
      </c>
      <c r="S69" s="115"/>
      <c r="T69" s="116"/>
      <c r="U69" s="117"/>
      <c r="V69" s="118"/>
      <c r="W69" s="118"/>
      <c r="X69" s="115"/>
      <c r="Y69" s="115"/>
      <c r="Z69" s="115"/>
      <c r="AA69" s="116"/>
      <c r="AB69" s="117"/>
      <c r="AC69" s="118"/>
      <c r="AD69" s="119"/>
      <c r="AE69" s="119"/>
      <c r="AF69" s="119"/>
      <c r="AG69" s="119"/>
      <c r="AH69" s="119"/>
      <c r="AI69" s="120"/>
      <c r="AJ69" s="120"/>
    </row>
    <row r="70" spans="1:36" s="121" customFormat="1" ht="15" x14ac:dyDescent="0.25">
      <c r="A70" s="291"/>
      <c r="B70" s="287"/>
      <c r="C70" s="281"/>
      <c r="D70" s="281"/>
      <c r="E70" s="281"/>
      <c r="F70" s="281"/>
      <c r="G70" s="279"/>
      <c r="H70" s="279"/>
      <c r="I70" s="279"/>
      <c r="J70" s="279"/>
      <c r="K70" s="123">
        <f>(D69+0.6)*3.281</f>
        <v>1.9685999999999999</v>
      </c>
      <c r="L70" s="124"/>
      <c r="M70" s="124"/>
      <c r="N70" s="123" t="str">
        <f t="shared" si="6"/>
        <v/>
      </c>
      <c r="O70" s="123" t="str">
        <f t="shared" si="7"/>
        <v/>
      </c>
      <c r="P70" s="123" t="str">
        <f t="shared" si="8"/>
        <v/>
      </c>
      <c r="Q70" s="123" t="str">
        <f t="shared" si="9"/>
        <v/>
      </c>
      <c r="R70" s="123" t="str">
        <f t="shared" si="10"/>
        <v/>
      </c>
      <c r="S70" s="115"/>
      <c r="T70" s="116"/>
      <c r="U70" s="117"/>
      <c r="V70" s="118"/>
      <c r="W70" s="118"/>
      <c r="X70" s="115"/>
      <c r="Y70" s="115"/>
      <c r="Z70" s="115"/>
      <c r="AA70" s="116"/>
      <c r="AB70" s="117"/>
      <c r="AC70" s="118"/>
      <c r="AD70" s="119"/>
      <c r="AE70" s="119"/>
      <c r="AF70" s="119"/>
      <c r="AG70" s="119"/>
      <c r="AH70" s="119"/>
      <c r="AI70" s="120"/>
      <c r="AJ70" s="120"/>
    </row>
    <row r="71" spans="1:36" s="121" customFormat="1" ht="15" x14ac:dyDescent="0.25">
      <c r="A71" s="291"/>
      <c r="B71" s="287"/>
      <c r="C71" s="281"/>
      <c r="D71" s="281"/>
      <c r="E71" s="281"/>
      <c r="F71" s="281"/>
      <c r="G71" s="279"/>
      <c r="H71" s="279"/>
      <c r="I71" s="279"/>
      <c r="J71" s="279"/>
      <c r="K71" s="123">
        <f>(C69+0.6)*3.281</f>
        <v>1.9685999999999999</v>
      </c>
      <c r="L71" s="124"/>
      <c r="M71" s="124"/>
      <c r="N71" s="123" t="str">
        <f t="shared" si="6"/>
        <v/>
      </c>
      <c r="O71" s="123" t="str">
        <f t="shared" si="7"/>
        <v/>
      </c>
      <c r="P71" s="123" t="str">
        <f t="shared" si="8"/>
        <v/>
      </c>
      <c r="Q71" s="123" t="str">
        <f t="shared" si="9"/>
        <v/>
      </c>
      <c r="R71" s="123" t="str">
        <f t="shared" si="10"/>
        <v/>
      </c>
      <c r="S71" s="115"/>
      <c r="T71" s="116"/>
      <c r="U71" s="117"/>
      <c r="V71" s="118"/>
      <c r="W71" s="118"/>
      <c r="X71" s="115"/>
      <c r="Y71" s="115"/>
      <c r="Z71" s="115"/>
      <c r="AA71" s="116"/>
      <c r="AB71" s="117"/>
      <c r="AC71" s="118"/>
      <c r="AD71" s="119"/>
      <c r="AE71" s="119"/>
      <c r="AF71" s="119"/>
      <c r="AG71" s="119"/>
      <c r="AH71" s="119"/>
      <c r="AI71" s="120"/>
      <c r="AJ71" s="120"/>
    </row>
    <row r="72" spans="1:36" s="121" customFormat="1" ht="15" x14ac:dyDescent="0.25">
      <c r="A72" s="291"/>
      <c r="B72" s="287"/>
      <c r="C72" s="281"/>
      <c r="D72" s="281"/>
      <c r="E72" s="281"/>
      <c r="F72" s="281"/>
      <c r="G72" s="279"/>
      <c r="H72" s="279"/>
      <c r="I72" s="279"/>
      <c r="J72" s="279"/>
      <c r="K72" s="123">
        <f>(D69+0.6)*3.281</f>
        <v>1.9685999999999999</v>
      </c>
      <c r="L72" s="124"/>
      <c r="M72" s="124"/>
      <c r="N72" s="123" t="str">
        <f t="shared" si="6"/>
        <v/>
      </c>
      <c r="O72" s="123" t="str">
        <f t="shared" si="7"/>
        <v/>
      </c>
      <c r="P72" s="123" t="str">
        <f t="shared" si="8"/>
        <v/>
      </c>
      <c r="Q72" s="123" t="str">
        <f t="shared" si="9"/>
        <v/>
      </c>
      <c r="R72" s="123" t="str">
        <f t="shared" si="10"/>
        <v/>
      </c>
      <c r="S72" s="115"/>
      <c r="T72" s="116"/>
      <c r="U72" s="117"/>
      <c r="V72" s="118"/>
      <c r="W72" s="118"/>
      <c r="X72" s="115"/>
      <c r="Y72" s="115"/>
      <c r="Z72" s="115"/>
      <c r="AA72" s="116"/>
      <c r="AB72" s="117"/>
      <c r="AC72" s="118"/>
      <c r="AD72" s="119"/>
      <c r="AE72" s="119"/>
      <c r="AF72" s="119"/>
      <c r="AG72" s="119"/>
      <c r="AH72" s="119"/>
      <c r="AI72" s="120"/>
      <c r="AJ72" s="120"/>
    </row>
    <row r="73" spans="1:36" s="121" customFormat="1" ht="15" x14ac:dyDescent="0.25">
      <c r="A73" s="291"/>
      <c r="B73" s="287"/>
      <c r="C73" s="281"/>
      <c r="D73" s="281"/>
      <c r="E73" s="281"/>
      <c r="F73" s="281"/>
      <c r="G73" s="279">
        <v>0</v>
      </c>
      <c r="H73" s="279"/>
      <c r="I73" s="279">
        <f>C73*D73*2</f>
        <v>0</v>
      </c>
      <c r="J73" s="279">
        <f>C73*D73*F73</f>
        <v>0</v>
      </c>
      <c r="K73" s="123">
        <f>(C73+0.6)*3.281</f>
        <v>1.9685999999999999</v>
      </c>
      <c r="L73" s="124"/>
      <c r="M73" s="124"/>
      <c r="N73" s="123" t="str">
        <f t="shared" si="6"/>
        <v/>
      </c>
      <c r="O73" s="123" t="str">
        <f t="shared" si="7"/>
        <v/>
      </c>
      <c r="P73" s="123" t="str">
        <f t="shared" si="8"/>
        <v/>
      </c>
      <c r="Q73" s="123" t="str">
        <f t="shared" si="9"/>
        <v/>
      </c>
      <c r="R73" s="123" t="str">
        <f t="shared" si="10"/>
        <v/>
      </c>
      <c r="S73" s="115"/>
      <c r="T73" s="116"/>
      <c r="U73" s="117"/>
      <c r="V73" s="118"/>
      <c r="W73" s="118"/>
      <c r="X73" s="115"/>
      <c r="Y73" s="115"/>
      <c r="Z73" s="115"/>
      <c r="AA73" s="116"/>
      <c r="AB73" s="117"/>
      <c r="AC73" s="118"/>
      <c r="AD73" s="119"/>
      <c r="AE73" s="119"/>
      <c r="AF73" s="119"/>
      <c r="AG73" s="119"/>
      <c r="AH73" s="119"/>
      <c r="AI73" s="120"/>
      <c r="AJ73" s="120"/>
    </row>
    <row r="74" spans="1:36" s="121" customFormat="1" ht="15" x14ac:dyDescent="0.25">
      <c r="A74" s="291"/>
      <c r="B74" s="287"/>
      <c r="C74" s="281"/>
      <c r="D74" s="281"/>
      <c r="E74" s="281"/>
      <c r="F74" s="281"/>
      <c r="G74" s="279"/>
      <c r="H74" s="279"/>
      <c r="I74" s="279"/>
      <c r="J74" s="279"/>
      <c r="K74" s="123">
        <f>(D73+0.6)*3.281</f>
        <v>1.9685999999999999</v>
      </c>
      <c r="L74" s="124"/>
      <c r="M74" s="124"/>
      <c r="N74" s="123" t="str">
        <f t="shared" si="6"/>
        <v/>
      </c>
      <c r="O74" s="123" t="str">
        <f t="shared" si="7"/>
        <v/>
      </c>
      <c r="P74" s="123" t="str">
        <f t="shared" si="8"/>
        <v/>
      </c>
      <c r="Q74" s="123" t="str">
        <f t="shared" si="9"/>
        <v/>
      </c>
      <c r="R74" s="123" t="str">
        <f t="shared" si="10"/>
        <v/>
      </c>
      <c r="S74" s="115"/>
      <c r="T74" s="116"/>
      <c r="U74" s="117"/>
      <c r="V74" s="118"/>
      <c r="W74" s="118"/>
      <c r="X74" s="115"/>
      <c r="Y74" s="115"/>
      <c r="Z74" s="115"/>
      <c r="AA74" s="116"/>
      <c r="AB74" s="117"/>
      <c r="AC74" s="118"/>
      <c r="AD74" s="119"/>
      <c r="AE74" s="119"/>
      <c r="AF74" s="119"/>
      <c r="AG74" s="119"/>
      <c r="AH74" s="119"/>
      <c r="AI74" s="120"/>
      <c r="AJ74" s="120"/>
    </row>
    <row r="75" spans="1:36" s="121" customFormat="1" ht="15" x14ac:dyDescent="0.25">
      <c r="A75" s="291"/>
      <c r="B75" s="287"/>
      <c r="C75" s="281"/>
      <c r="D75" s="281"/>
      <c r="E75" s="281"/>
      <c r="F75" s="281"/>
      <c r="G75" s="279"/>
      <c r="H75" s="279"/>
      <c r="I75" s="279"/>
      <c r="J75" s="279"/>
      <c r="K75" s="123">
        <f>(C73+0.6)*3.281</f>
        <v>1.9685999999999999</v>
      </c>
      <c r="L75" s="124"/>
      <c r="M75" s="124"/>
      <c r="N75" s="123" t="str">
        <f t="shared" si="6"/>
        <v/>
      </c>
      <c r="O75" s="123" t="str">
        <f t="shared" si="7"/>
        <v/>
      </c>
      <c r="P75" s="123" t="str">
        <f t="shared" si="8"/>
        <v/>
      </c>
      <c r="Q75" s="123" t="str">
        <f t="shared" si="9"/>
        <v/>
      </c>
      <c r="R75" s="123" t="str">
        <f t="shared" si="10"/>
        <v/>
      </c>
      <c r="S75" s="115"/>
      <c r="T75" s="116"/>
      <c r="U75" s="117"/>
      <c r="V75" s="118"/>
      <c r="W75" s="118"/>
      <c r="X75" s="115"/>
      <c r="Y75" s="115"/>
      <c r="Z75" s="115"/>
      <c r="AA75" s="116"/>
      <c r="AB75" s="117"/>
      <c r="AC75" s="118"/>
      <c r="AD75" s="119"/>
      <c r="AE75" s="119"/>
      <c r="AF75" s="119"/>
      <c r="AG75" s="119"/>
      <c r="AH75" s="119"/>
      <c r="AI75" s="120"/>
      <c r="AJ75" s="120"/>
    </row>
    <row r="76" spans="1:36" s="121" customFormat="1" ht="15" x14ac:dyDescent="0.25">
      <c r="A76" s="291"/>
      <c r="B76" s="287"/>
      <c r="C76" s="281"/>
      <c r="D76" s="281"/>
      <c r="E76" s="281"/>
      <c r="F76" s="281"/>
      <c r="G76" s="279"/>
      <c r="H76" s="279"/>
      <c r="I76" s="279"/>
      <c r="J76" s="279"/>
      <c r="K76" s="123">
        <f>(D73+0.6)*3.281</f>
        <v>1.9685999999999999</v>
      </c>
      <c r="L76" s="124"/>
      <c r="M76" s="124"/>
      <c r="N76" s="123" t="str">
        <f t="shared" si="6"/>
        <v/>
      </c>
      <c r="O76" s="123" t="str">
        <f t="shared" si="7"/>
        <v/>
      </c>
      <c r="P76" s="123" t="str">
        <f t="shared" si="8"/>
        <v/>
      </c>
      <c r="Q76" s="123" t="str">
        <f t="shared" si="9"/>
        <v/>
      </c>
      <c r="R76" s="123" t="str">
        <f t="shared" si="10"/>
        <v/>
      </c>
      <c r="S76" s="115"/>
      <c r="T76" s="116"/>
      <c r="U76" s="117"/>
      <c r="V76" s="118"/>
      <c r="W76" s="118"/>
      <c r="X76" s="115"/>
      <c r="Y76" s="115"/>
      <c r="Z76" s="115"/>
      <c r="AA76" s="116"/>
      <c r="AB76" s="117"/>
      <c r="AC76" s="118"/>
      <c r="AD76" s="119"/>
      <c r="AE76" s="119"/>
      <c r="AF76" s="119"/>
      <c r="AG76" s="119"/>
      <c r="AH76" s="119"/>
      <c r="AI76" s="120"/>
      <c r="AJ76" s="120"/>
    </row>
    <row r="77" spans="1:36" s="121" customFormat="1" ht="15" x14ac:dyDescent="0.25">
      <c r="A77" s="291"/>
      <c r="B77" s="287"/>
      <c r="C77" s="281"/>
      <c r="D77" s="281"/>
      <c r="E77" s="281"/>
      <c r="F77" s="281"/>
      <c r="G77" s="279">
        <f>C77*D77*E77</f>
        <v>0</v>
      </c>
      <c r="H77" s="279"/>
      <c r="I77" s="279">
        <f>(C77+C77+D77+D77)*F77</f>
        <v>0</v>
      </c>
      <c r="J77" s="279">
        <f>C77*D77*F77</f>
        <v>0</v>
      </c>
      <c r="K77" s="123">
        <f>(C77+0.6)*3.281</f>
        <v>1.9685999999999999</v>
      </c>
      <c r="L77" s="124"/>
      <c r="M77" s="124"/>
      <c r="N77" s="123" t="str">
        <f t="shared" si="6"/>
        <v/>
      </c>
      <c r="O77" s="123" t="str">
        <f t="shared" si="7"/>
        <v/>
      </c>
      <c r="P77" s="123" t="str">
        <f t="shared" si="8"/>
        <v/>
      </c>
      <c r="Q77" s="123" t="str">
        <f t="shared" si="9"/>
        <v/>
      </c>
      <c r="R77" s="123" t="str">
        <f t="shared" si="10"/>
        <v/>
      </c>
      <c r="S77" s="115"/>
      <c r="T77" s="116"/>
      <c r="U77" s="117"/>
      <c r="V77" s="118"/>
      <c r="W77" s="118"/>
      <c r="X77" s="115"/>
      <c r="Y77" s="115"/>
      <c r="Z77" s="115"/>
      <c r="AA77" s="116"/>
      <c r="AB77" s="117"/>
      <c r="AC77" s="118"/>
      <c r="AD77" s="119"/>
      <c r="AE77" s="119"/>
      <c r="AF77" s="119"/>
      <c r="AG77" s="119"/>
      <c r="AH77" s="119"/>
      <c r="AI77" s="120"/>
      <c r="AJ77" s="120"/>
    </row>
    <row r="78" spans="1:36" s="121" customFormat="1" ht="15" x14ac:dyDescent="0.25">
      <c r="A78" s="291"/>
      <c r="B78" s="287"/>
      <c r="C78" s="281"/>
      <c r="D78" s="281"/>
      <c r="E78" s="281"/>
      <c r="F78" s="281"/>
      <c r="G78" s="279"/>
      <c r="H78" s="279"/>
      <c r="I78" s="279"/>
      <c r="J78" s="279"/>
      <c r="K78" s="123">
        <f>(D77+0.6)*3.281</f>
        <v>1.9685999999999999</v>
      </c>
      <c r="L78" s="124"/>
      <c r="M78" s="124"/>
      <c r="N78" s="123" t="str">
        <f t="shared" si="6"/>
        <v/>
      </c>
      <c r="O78" s="123" t="str">
        <f t="shared" si="7"/>
        <v/>
      </c>
      <c r="P78" s="123" t="str">
        <f t="shared" si="8"/>
        <v/>
      </c>
      <c r="Q78" s="123" t="str">
        <f t="shared" si="9"/>
        <v/>
      </c>
      <c r="R78" s="123" t="str">
        <f t="shared" si="10"/>
        <v/>
      </c>
      <c r="S78" s="115"/>
      <c r="T78" s="116"/>
      <c r="U78" s="117"/>
      <c r="V78" s="118"/>
      <c r="W78" s="118"/>
      <c r="X78" s="115"/>
      <c r="Y78" s="115"/>
      <c r="Z78" s="115"/>
      <c r="AA78" s="116"/>
      <c r="AB78" s="117"/>
      <c r="AC78" s="118"/>
      <c r="AD78" s="119"/>
      <c r="AE78" s="119"/>
      <c r="AF78" s="119"/>
      <c r="AG78" s="119"/>
      <c r="AH78" s="119"/>
      <c r="AI78" s="120"/>
      <c r="AJ78" s="120"/>
    </row>
    <row r="79" spans="1:36" s="121" customFormat="1" ht="15" x14ac:dyDescent="0.25">
      <c r="A79" s="291"/>
      <c r="B79" s="287"/>
      <c r="C79" s="281"/>
      <c r="D79" s="281"/>
      <c r="E79" s="281"/>
      <c r="F79" s="281"/>
      <c r="G79" s="279"/>
      <c r="H79" s="279"/>
      <c r="I79" s="279"/>
      <c r="J79" s="279"/>
      <c r="K79" s="123">
        <f>(C77+0.6)*3.281</f>
        <v>1.9685999999999999</v>
      </c>
      <c r="L79" s="124"/>
      <c r="M79" s="124"/>
      <c r="N79" s="123" t="str">
        <f t="shared" si="6"/>
        <v/>
      </c>
      <c r="O79" s="123" t="str">
        <f t="shared" si="7"/>
        <v/>
      </c>
      <c r="P79" s="123" t="str">
        <f t="shared" si="8"/>
        <v/>
      </c>
      <c r="Q79" s="123" t="str">
        <f t="shared" si="9"/>
        <v/>
      </c>
      <c r="R79" s="123" t="str">
        <f t="shared" si="10"/>
        <v/>
      </c>
      <c r="S79" s="115"/>
      <c r="T79" s="116"/>
      <c r="U79" s="117"/>
      <c r="V79" s="118"/>
      <c r="W79" s="118"/>
      <c r="X79" s="115"/>
      <c r="Y79" s="115"/>
      <c r="Z79" s="115"/>
      <c r="AA79" s="116"/>
      <c r="AB79" s="117"/>
      <c r="AC79" s="118"/>
      <c r="AD79" s="119"/>
      <c r="AE79" s="119"/>
      <c r="AF79" s="119"/>
      <c r="AG79" s="119"/>
      <c r="AH79" s="119"/>
      <c r="AI79" s="120"/>
      <c r="AJ79" s="120"/>
    </row>
    <row r="80" spans="1:36" s="121" customFormat="1" ht="15" x14ac:dyDescent="0.25">
      <c r="A80" s="291"/>
      <c r="B80" s="287"/>
      <c r="C80" s="281"/>
      <c r="D80" s="281"/>
      <c r="E80" s="281"/>
      <c r="F80" s="281"/>
      <c r="G80" s="279"/>
      <c r="H80" s="279"/>
      <c r="I80" s="279"/>
      <c r="J80" s="279"/>
      <c r="K80" s="123">
        <f>(D77+0.6)*3.281</f>
        <v>1.9685999999999999</v>
      </c>
      <c r="L80" s="124"/>
      <c r="M80" s="124"/>
      <c r="N80" s="123" t="str">
        <f t="shared" si="6"/>
        <v/>
      </c>
      <c r="O80" s="123" t="str">
        <f t="shared" si="7"/>
        <v/>
      </c>
      <c r="P80" s="123" t="str">
        <f t="shared" si="8"/>
        <v/>
      </c>
      <c r="Q80" s="123" t="str">
        <f t="shared" si="9"/>
        <v/>
      </c>
      <c r="R80" s="123" t="str">
        <f t="shared" si="10"/>
        <v/>
      </c>
      <c r="S80" s="115"/>
      <c r="T80" s="116"/>
      <c r="U80" s="117"/>
      <c r="V80" s="118"/>
      <c r="W80" s="118"/>
      <c r="X80" s="115"/>
      <c r="Y80" s="115"/>
      <c r="Z80" s="115"/>
      <c r="AA80" s="116"/>
      <c r="AB80" s="117"/>
      <c r="AC80" s="118"/>
      <c r="AD80" s="119"/>
      <c r="AE80" s="119"/>
      <c r="AF80" s="119"/>
      <c r="AG80" s="119"/>
      <c r="AH80" s="119"/>
      <c r="AI80" s="120"/>
      <c r="AJ80" s="120"/>
    </row>
    <row r="81" spans="1:36" s="121" customFormat="1" ht="15" x14ac:dyDescent="0.25">
      <c r="A81" s="291"/>
      <c r="B81" s="287"/>
      <c r="C81" s="281"/>
      <c r="D81" s="281"/>
      <c r="E81" s="281"/>
      <c r="F81" s="281"/>
      <c r="G81" s="279">
        <v>0</v>
      </c>
      <c r="H81" s="279"/>
      <c r="I81" s="279">
        <f>C81*D81*2</f>
        <v>0</v>
      </c>
      <c r="J81" s="279">
        <f>C81*D81*F81</f>
        <v>0</v>
      </c>
      <c r="K81" s="123">
        <f>(C81+0.6)*3.281</f>
        <v>1.9685999999999999</v>
      </c>
      <c r="L81" s="124"/>
      <c r="M81" s="124"/>
      <c r="N81" s="123" t="str">
        <f t="shared" si="1"/>
        <v/>
      </c>
      <c r="O81" s="123" t="str">
        <f t="shared" si="2"/>
        <v/>
      </c>
      <c r="P81" s="123" t="str">
        <f t="shared" si="3"/>
        <v/>
      </c>
      <c r="Q81" s="123" t="str">
        <f t="shared" si="4"/>
        <v/>
      </c>
      <c r="R81" s="123" t="str">
        <f t="shared" si="5"/>
        <v/>
      </c>
      <c r="S81" s="115"/>
      <c r="T81" s="116"/>
      <c r="U81" s="117"/>
      <c r="V81" s="118"/>
      <c r="W81" s="118"/>
      <c r="X81" s="115"/>
      <c r="Y81" s="115"/>
      <c r="Z81" s="115"/>
      <c r="AA81" s="116"/>
      <c r="AB81" s="117"/>
      <c r="AC81" s="118"/>
      <c r="AD81" s="119"/>
      <c r="AE81" s="119"/>
      <c r="AF81" s="119"/>
      <c r="AG81" s="119"/>
      <c r="AH81" s="119"/>
      <c r="AI81" s="120"/>
      <c r="AJ81" s="120"/>
    </row>
    <row r="82" spans="1:36" s="121" customFormat="1" ht="15" x14ac:dyDescent="0.25">
      <c r="A82" s="291"/>
      <c r="B82" s="287"/>
      <c r="C82" s="281"/>
      <c r="D82" s="281"/>
      <c r="E82" s="281"/>
      <c r="F82" s="281"/>
      <c r="G82" s="279"/>
      <c r="H82" s="279"/>
      <c r="I82" s="279"/>
      <c r="J82" s="279"/>
      <c r="K82" s="123">
        <f>(D81+0.6)*3.281</f>
        <v>1.9685999999999999</v>
      </c>
      <c r="L82" s="124"/>
      <c r="M82" s="124"/>
      <c r="N82" s="123" t="str">
        <f t="shared" si="1"/>
        <v/>
      </c>
      <c r="O82" s="123" t="str">
        <f t="shared" si="2"/>
        <v/>
      </c>
      <c r="P82" s="123" t="str">
        <f t="shared" si="3"/>
        <v/>
      </c>
      <c r="Q82" s="123" t="str">
        <f t="shared" si="4"/>
        <v/>
      </c>
      <c r="R82" s="123" t="str">
        <f t="shared" si="5"/>
        <v/>
      </c>
      <c r="S82" s="115"/>
      <c r="T82" s="116"/>
      <c r="U82" s="117"/>
      <c r="V82" s="118"/>
      <c r="W82" s="118"/>
      <c r="X82" s="115"/>
      <c r="Y82" s="115"/>
      <c r="Z82" s="115"/>
      <c r="AA82" s="116"/>
      <c r="AB82" s="117"/>
      <c r="AC82" s="118"/>
      <c r="AD82" s="119"/>
      <c r="AE82" s="119"/>
      <c r="AF82" s="119"/>
      <c r="AG82" s="119"/>
      <c r="AH82" s="119"/>
      <c r="AI82" s="120"/>
      <c r="AJ82" s="120"/>
    </row>
    <row r="83" spans="1:36" s="121" customFormat="1" ht="15" x14ac:dyDescent="0.25">
      <c r="A83" s="291"/>
      <c r="B83" s="287"/>
      <c r="C83" s="281"/>
      <c r="D83" s="281"/>
      <c r="E83" s="281"/>
      <c r="F83" s="281"/>
      <c r="G83" s="279"/>
      <c r="H83" s="279"/>
      <c r="I83" s="279"/>
      <c r="J83" s="279"/>
      <c r="K83" s="123">
        <f>(C81+0.6)*3.281</f>
        <v>1.9685999999999999</v>
      </c>
      <c r="L83" s="124"/>
      <c r="M83" s="124"/>
      <c r="N83" s="123" t="str">
        <f t="shared" si="1"/>
        <v/>
      </c>
      <c r="O83" s="123" t="str">
        <f t="shared" si="2"/>
        <v/>
      </c>
      <c r="P83" s="123" t="str">
        <f t="shared" si="3"/>
        <v/>
      </c>
      <c r="Q83" s="123" t="str">
        <f t="shared" si="4"/>
        <v/>
      </c>
      <c r="R83" s="123" t="str">
        <f t="shared" si="5"/>
        <v/>
      </c>
      <c r="S83" s="115"/>
      <c r="T83" s="116"/>
      <c r="U83" s="117"/>
      <c r="V83" s="118"/>
      <c r="W83" s="118"/>
      <c r="X83" s="115"/>
      <c r="Y83" s="115"/>
      <c r="Z83" s="115"/>
      <c r="AA83" s="116"/>
      <c r="AB83" s="117"/>
      <c r="AC83" s="118"/>
      <c r="AD83" s="119"/>
      <c r="AE83" s="119"/>
      <c r="AF83" s="119"/>
      <c r="AG83" s="119"/>
      <c r="AH83" s="119"/>
      <c r="AI83" s="120"/>
      <c r="AJ83" s="120"/>
    </row>
    <row r="84" spans="1:36" s="121" customFormat="1" ht="15" x14ac:dyDescent="0.25">
      <c r="A84" s="291"/>
      <c r="B84" s="287"/>
      <c r="C84" s="281"/>
      <c r="D84" s="281"/>
      <c r="E84" s="281"/>
      <c r="F84" s="281"/>
      <c r="G84" s="279"/>
      <c r="H84" s="279"/>
      <c r="I84" s="279"/>
      <c r="J84" s="279"/>
      <c r="K84" s="123">
        <f>(D81+0.6)*3.281</f>
        <v>1.9685999999999999</v>
      </c>
      <c r="L84" s="124"/>
      <c r="M84" s="124"/>
      <c r="N84" s="123" t="str">
        <f t="shared" si="1"/>
        <v/>
      </c>
      <c r="O84" s="123" t="str">
        <f t="shared" si="2"/>
        <v/>
      </c>
      <c r="P84" s="123" t="str">
        <f t="shared" si="3"/>
        <v/>
      </c>
      <c r="Q84" s="123" t="str">
        <f t="shared" si="4"/>
        <v/>
      </c>
      <c r="R84" s="123" t="str">
        <f t="shared" si="5"/>
        <v/>
      </c>
      <c r="S84" s="115"/>
      <c r="T84" s="116"/>
      <c r="U84" s="117"/>
      <c r="V84" s="118"/>
      <c r="W84" s="118"/>
      <c r="X84" s="115"/>
      <c r="Y84" s="115"/>
      <c r="Z84" s="115"/>
      <c r="AA84" s="116"/>
      <c r="AB84" s="117"/>
      <c r="AC84" s="118"/>
      <c r="AD84" s="119"/>
      <c r="AE84" s="119"/>
      <c r="AF84" s="119"/>
      <c r="AG84" s="119"/>
      <c r="AH84" s="119"/>
      <c r="AI84" s="120"/>
      <c r="AJ84" s="120"/>
    </row>
    <row r="85" spans="1:36" s="121" customFormat="1" ht="15" x14ac:dyDescent="0.25">
      <c r="A85" s="291"/>
      <c r="B85" s="287"/>
      <c r="C85" s="281"/>
      <c r="D85" s="281"/>
      <c r="E85" s="281"/>
      <c r="F85" s="281"/>
      <c r="G85" s="279">
        <f>C85*D85*E85</f>
        <v>0</v>
      </c>
      <c r="H85" s="279"/>
      <c r="I85" s="279">
        <f>(C85+C85+D85+D85)*F85</f>
        <v>0</v>
      </c>
      <c r="J85" s="279">
        <f>C85*D85*F85</f>
        <v>0</v>
      </c>
      <c r="K85" s="123">
        <f>(C85+0.6)*3.281</f>
        <v>1.9685999999999999</v>
      </c>
      <c r="L85" s="124"/>
      <c r="M85" s="124"/>
      <c r="N85" s="123" t="str">
        <f>+IF(L85=3,M85*K85*0.378,"")</f>
        <v/>
      </c>
      <c r="O85" s="123" t="str">
        <f>+IF(L85=4,M85*K85*0.668,"")</f>
        <v/>
      </c>
      <c r="P85" s="123" t="str">
        <f>+IF(L85=5,M85*K85*1.043,"")</f>
        <v/>
      </c>
      <c r="Q85" s="123" t="str">
        <f>+IF(L85=6,K85*M85*1.503,"")</f>
        <v/>
      </c>
      <c r="R85" s="123" t="str">
        <f>+IF(L85=7,K85*M85*2.044,"")</f>
        <v/>
      </c>
      <c r="S85" s="115"/>
      <c r="T85" s="116"/>
      <c r="U85" s="117"/>
      <c r="V85" s="118"/>
      <c r="W85" s="118"/>
      <c r="X85" s="115"/>
      <c r="Y85" s="115"/>
      <c r="Z85" s="115"/>
      <c r="AA85" s="116"/>
      <c r="AB85" s="117"/>
      <c r="AC85" s="118"/>
      <c r="AD85" s="119"/>
      <c r="AE85" s="119"/>
      <c r="AF85" s="119"/>
      <c r="AG85" s="119"/>
      <c r="AH85" s="119"/>
      <c r="AI85" s="120"/>
      <c r="AJ85" s="120"/>
    </row>
    <row r="86" spans="1:36" s="121" customFormat="1" ht="15" x14ac:dyDescent="0.25">
      <c r="A86" s="291"/>
      <c r="B86" s="287"/>
      <c r="C86" s="281"/>
      <c r="D86" s="281"/>
      <c r="E86" s="281"/>
      <c r="F86" s="281"/>
      <c r="G86" s="279"/>
      <c r="H86" s="279"/>
      <c r="I86" s="279"/>
      <c r="J86" s="279"/>
      <c r="K86" s="123">
        <f>(D85+0.6)*3.281</f>
        <v>1.9685999999999999</v>
      </c>
      <c r="L86" s="124"/>
      <c r="M86" s="124"/>
      <c r="N86" s="123" t="str">
        <f>+IF(L86=3,M86*K86*0.378,"")</f>
        <v/>
      </c>
      <c r="O86" s="123" t="str">
        <f>+IF(L86=4,M86*K86*0.668,"")</f>
        <v/>
      </c>
      <c r="P86" s="123" t="str">
        <f>+IF(L86=5,M86*K86*1.043,"")</f>
        <v/>
      </c>
      <c r="Q86" s="123" t="str">
        <f>+IF(L86=6,K86*M86*1.503,"")</f>
        <v/>
      </c>
      <c r="R86" s="123" t="str">
        <f>+IF(L86=7,K86*M86*2.044,"")</f>
        <v/>
      </c>
      <c r="S86" s="115"/>
      <c r="T86" s="116"/>
      <c r="U86" s="117"/>
      <c r="V86" s="118"/>
      <c r="W86" s="118"/>
      <c r="X86" s="115"/>
      <c r="Y86" s="115"/>
      <c r="Z86" s="115"/>
      <c r="AA86" s="116"/>
      <c r="AB86" s="117"/>
      <c r="AC86" s="118"/>
      <c r="AD86" s="119"/>
      <c r="AE86" s="119"/>
      <c r="AF86" s="119"/>
      <c r="AG86" s="119"/>
      <c r="AH86" s="119"/>
      <c r="AI86" s="120"/>
      <c r="AJ86" s="120"/>
    </row>
    <row r="87" spans="1:36" s="121" customFormat="1" ht="15" x14ac:dyDescent="0.25">
      <c r="A87" s="291"/>
      <c r="B87" s="287"/>
      <c r="C87" s="281"/>
      <c r="D87" s="281"/>
      <c r="E87" s="281"/>
      <c r="F87" s="281"/>
      <c r="G87" s="279"/>
      <c r="H87" s="279"/>
      <c r="I87" s="279"/>
      <c r="J87" s="279"/>
      <c r="K87" s="123">
        <f>(C85+0.6)*3.281</f>
        <v>1.9685999999999999</v>
      </c>
      <c r="L87" s="124"/>
      <c r="M87" s="124"/>
      <c r="N87" s="123" t="str">
        <f>+IF(L87=3,M87*K87*0.378,"")</f>
        <v/>
      </c>
      <c r="O87" s="123" t="str">
        <f>+IF(L87=4,M87*K87*0.668,"")</f>
        <v/>
      </c>
      <c r="P87" s="123" t="str">
        <f>+IF(L87=5,M87*K87*1.043,"")</f>
        <v/>
      </c>
      <c r="Q87" s="123" t="str">
        <f>+IF(L87=6,K87*M87*1.503,"")</f>
        <v/>
      </c>
      <c r="R87" s="123" t="str">
        <f>+IF(L87=7,K87*M87*2.044,"")</f>
        <v/>
      </c>
      <c r="S87" s="115"/>
      <c r="T87" s="116"/>
      <c r="U87" s="117"/>
      <c r="V87" s="118"/>
      <c r="W87" s="118"/>
      <c r="X87" s="115"/>
      <c r="Y87" s="115"/>
      <c r="Z87" s="115"/>
      <c r="AA87" s="116"/>
      <c r="AB87" s="117"/>
      <c r="AC87" s="118"/>
      <c r="AD87" s="119"/>
      <c r="AE87" s="119"/>
      <c r="AF87" s="119"/>
      <c r="AG87" s="119"/>
      <c r="AH87" s="119"/>
      <c r="AI87" s="120"/>
      <c r="AJ87" s="120"/>
    </row>
    <row r="88" spans="1:36" s="121" customFormat="1" ht="15" x14ac:dyDescent="0.25">
      <c r="A88" s="291"/>
      <c r="B88" s="287"/>
      <c r="C88" s="281"/>
      <c r="D88" s="281"/>
      <c r="E88" s="281"/>
      <c r="F88" s="281"/>
      <c r="G88" s="279"/>
      <c r="H88" s="279"/>
      <c r="I88" s="279"/>
      <c r="J88" s="279"/>
      <c r="K88" s="123">
        <f>(D85+0.6)*3.281</f>
        <v>1.9685999999999999</v>
      </c>
      <c r="L88" s="124"/>
      <c r="M88" s="124"/>
      <c r="N88" s="123" t="str">
        <f>+IF(L88=3,M88*K88*0.378,"")</f>
        <v/>
      </c>
      <c r="O88" s="123" t="str">
        <f>+IF(L88=4,M88*K88*0.668,"")</f>
        <v/>
      </c>
      <c r="P88" s="123" t="str">
        <f>+IF(L88=5,M88*K88*1.043,"")</f>
        <v/>
      </c>
      <c r="Q88" s="123" t="str">
        <f>+IF(L88=6,K88*M88*1.503,"")</f>
        <v/>
      </c>
      <c r="R88" s="123" t="str">
        <f>+IF(L88=7,K88*M88*2.044,"")</f>
        <v/>
      </c>
      <c r="S88" s="115"/>
      <c r="T88" s="116"/>
      <c r="U88" s="117"/>
      <c r="V88" s="118"/>
      <c r="W88" s="118"/>
      <c r="X88" s="115"/>
      <c r="Y88" s="115"/>
      <c r="Z88" s="115"/>
      <c r="AA88" s="116"/>
      <c r="AB88" s="117"/>
      <c r="AC88" s="118"/>
      <c r="AD88" s="119"/>
      <c r="AE88" s="119"/>
      <c r="AF88" s="119"/>
      <c r="AG88" s="119"/>
      <c r="AH88" s="119"/>
      <c r="AI88" s="120"/>
      <c r="AJ88" s="120"/>
    </row>
    <row r="89" spans="1:36" s="121" customFormat="1" ht="15" x14ac:dyDescent="0.25">
      <c r="A89" s="291"/>
      <c r="B89" s="287"/>
      <c r="C89" s="281"/>
      <c r="D89" s="281"/>
      <c r="E89" s="281"/>
      <c r="F89" s="281"/>
      <c r="G89" s="279">
        <v>0</v>
      </c>
      <c r="H89" s="279"/>
      <c r="I89" s="279">
        <f>C89*D89*2</f>
        <v>0</v>
      </c>
      <c r="J89" s="279">
        <f>C89*D89*F89</f>
        <v>0</v>
      </c>
      <c r="K89" s="123">
        <f>(C89+0.6)*3.281</f>
        <v>1.9685999999999999</v>
      </c>
      <c r="L89" s="124"/>
      <c r="M89" s="124"/>
      <c r="N89" s="123" t="str">
        <f t="shared" si="1"/>
        <v/>
      </c>
      <c r="O89" s="123" t="str">
        <f t="shared" si="2"/>
        <v/>
      </c>
      <c r="P89" s="123" t="str">
        <f t="shared" si="3"/>
        <v/>
      </c>
      <c r="Q89" s="123" t="str">
        <f t="shared" si="4"/>
        <v/>
      </c>
      <c r="R89" s="123" t="str">
        <f t="shared" si="5"/>
        <v/>
      </c>
      <c r="S89" s="115"/>
      <c r="T89" s="116"/>
      <c r="U89" s="117"/>
      <c r="V89" s="118"/>
      <c r="W89" s="118"/>
      <c r="X89" s="115"/>
      <c r="Y89" s="115"/>
      <c r="Z89" s="115"/>
      <c r="AA89" s="116"/>
      <c r="AB89" s="117"/>
      <c r="AC89" s="118"/>
      <c r="AD89" s="119"/>
      <c r="AE89" s="119"/>
      <c r="AF89" s="119"/>
      <c r="AG89" s="119"/>
      <c r="AH89" s="119"/>
      <c r="AI89" s="120"/>
      <c r="AJ89" s="120"/>
    </row>
    <row r="90" spans="1:36" s="121" customFormat="1" ht="15" x14ac:dyDescent="0.25">
      <c r="A90" s="291"/>
      <c r="B90" s="287"/>
      <c r="C90" s="281"/>
      <c r="D90" s="281"/>
      <c r="E90" s="281"/>
      <c r="F90" s="281"/>
      <c r="G90" s="279"/>
      <c r="H90" s="279"/>
      <c r="I90" s="279"/>
      <c r="J90" s="279"/>
      <c r="K90" s="123">
        <f>(D89+0.6)*3.281</f>
        <v>1.9685999999999999</v>
      </c>
      <c r="L90" s="124"/>
      <c r="M90" s="124"/>
      <c r="N90" s="123" t="str">
        <f>+IF(L90=3,M90*K90*0.378,"")</f>
        <v/>
      </c>
      <c r="O90" s="123" t="str">
        <f>+IF(L90=4,M90*K90*0.668,"")</f>
        <v/>
      </c>
      <c r="P90" s="123" t="str">
        <f>+IF(L90=5,M90*K90*1.043,"")</f>
        <v/>
      </c>
      <c r="Q90" s="123" t="str">
        <f>+IF(L90=6,K90*M90*1.503,"")</f>
        <v/>
      </c>
      <c r="R90" s="123" t="str">
        <f>+IF(L90=7,K90*M90*2.044,"")</f>
        <v/>
      </c>
      <c r="S90" s="115"/>
      <c r="T90" s="116"/>
      <c r="U90" s="117"/>
      <c r="V90" s="118"/>
      <c r="W90" s="118"/>
      <c r="X90" s="115"/>
      <c r="Y90" s="115"/>
      <c r="Z90" s="115"/>
      <c r="AA90" s="116"/>
      <c r="AB90" s="117"/>
      <c r="AC90" s="118"/>
      <c r="AD90" s="119"/>
      <c r="AE90" s="119"/>
      <c r="AF90" s="119"/>
      <c r="AG90" s="119"/>
      <c r="AH90" s="119"/>
      <c r="AI90" s="120"/>
      <c r="AJ90" s="120"/>
    </row>
    <row r="91" spans="1:36" s="121" customFormat="1" ht="15" x14ac:dyDescent="0.25">
      <c r="A91" s="291"/>
      <c r="B91" s="287"/>
      <c r="C91" s="281"/>
      <c r="D91" s="281"/>
      <c r="E91" s="281"/>
      <c r="F91" s="281"/>
      <c r="G91" s="279"/>
      <c r="H91" s="279"/>
      <c r="I91" s="279"/>
      <c r="J91" s="279"/>
      <c r="K91" s="123">
        <f>(4.8+0.4)*3.281</f>
        <v>17.061200000000003</v>
      </c>
      <c r="L91" s="124"/>
      <c r="M91" s="124"/>
      <c r="N91" s="123" t="str">
        <f>+IF(L91=3,M91*K91*0.378,"")</f>
        <v/>
      </c>
      <c r="O91" s="123" t="str">
        <f>+IF(L91=4,M91*K91*0.668,"")</f>
        <v/>
      </c>
      <c r="P91" s="123" t="str">
        <f>+IF(L91=5,M91*K91*1.043,"")</f>
        <v/>
      </c>
      <c r="Q91" s="123" t="str">
        <f>+IF(L91=6,K91*M91*1.503,"")</f>
        <v/>
      </c>
      <c r="R91" s="123" t="str">
        <f>+IF(L91=7,K91*M91*2.044,"")</f>
        <v/>
      </c>
      <c r="S91" s="115"/>
      <c r="T91" s="116"/>
      <c r="U91" s="117"/>
      <c r="V91" s="118"/>
      <c r="W91" s="118"/>
      <c r="X91" s="115"/>
      <c r="Y91" s="115"/>
      <c r="Z91" s="115"/>
      <c r="AA91" s="116"/>
      <c r="AB91" s="117"/>
      <c r="AC91" s="118"/>
      <c r="AD91" s="119"/>
      <c r="AE91" s="119"/>
      <c r="AF91" s="119"/>
      <c r="AG91" s="119"/>
      <c r="AH91" s="119"/>
      <c r="AI91" s="120"/>
      <c r="AJ91" s="120"/>
    </row>
    <row r="92" spans="1:36" s="121" customFormat="1" ht="15" x14ac:dyDescent="0.25">
      <c r="A92" s="291"/>
      <c r="B92" s="287"/>
      <c r="C92" s="281"/>
      <c r="D92" s="281"/>
      <c r="E92" s="281"/>
      <c r="F92" s="281"/>
      <c r="G92" s="279"/>
      <c r="H92" s="279"/>
      <c r="I92" s="279"/>
      <c r="J92" s="279"/>
      <c r="K92" s="123">
        <f>(D89+0.85)*3.281</f>
        <v>2.7888500000000001</v>
      </c>
      <c r="L92" s="124"/>
      <c r="M92" s="124"/>
      <c r="N92" s="123" t="str">
        <f t="shared" si="1"/>
        <v/>
      </c>
      <c r="O92" s="123" t="str">
        <f t="shared" si="2"/>
        <v/>
      </c>
      <c r="P92" s="123" t="str">
        <f t="shared" si="3"/>
        <v/>
      </c>
      <c r="Q92" s="123" t="str">
        <f t="shared" si="4"/>
        <v/>
      </c>
      <c r="R92" s="123" t="str">
        <f t="shared" si="5"/>
        <v/>
      </c>
      <c r="S92" s="115"/>
      <c r="T92" s="116"/>
      <c r="U92" s="117"/>
      <c r="V92" s="118"/>
      <c r="W92" s="118"/>
      <c r="X92" s="115"/>
      <c r="Y92" s="115"/>
      <c r="Z92" s="115"/>
      <c r="AA92" s="116"/>
      <c r="AB92" s="117"/>
      <c r="AC92" s="118"/>
      <c r="AD92" s="119"/>
      <c r="AE92" s="119"/>
      <c r="AF92" s="119"/>
      <c r="AG92" s="119"/>
      <c r="AH92" s="119"/>
      <c r="AI92" s="120"/>
      <c r="AJ92" s="120"/>
    </row>
    <row r="93" spans="1:36" s="121" customFormat="1" ht="15" x14ac:dyDescent="0.25">
      <c r="A93" s="291"/>
      <c r="B93" s="287"/>
      <c r="C93" s="281"/>
      <c r="D93" s="281"/>
      <c r="E93" s="281"/>
      <c r="F93" s="281"/>
      <c r="G93" s="279"/>
      <c r="H93" s="279"/>
      <c r="I93" s="279"/>
      <c r="J93" s="279"/>
      <c r="K93" s="123">
        <f>(C89+0.6)*3.281</f>
        <v>1.9685999999999999</v>
      </c>
      <c r="L93" s="124"/>
      <c r="M93" s="124"/>
      <c r="N93" s="123" t="str">
        <f t="shared" ref="N93:N102" si="11">+IF(L93=3,M93*K93*0.378,"")</f>
        <v/>
      </c>
      <c r="O93" s="123" t="str">
        <f t="shared" ref="O93:O102" si="12">+IF(L93=4,M93*K93*0.668,"")</f>
        <v/>
      </c>
      <c r="P93" s="123" t="str">
        <f t="shared" ref="P93:P102" si="13">+IF(L93=5,M93*K93*1.043,"")</f>
        <v/>
      </c>
      <c r="Q93" s="123" t="str">
        <f t="shared" ref="Q93:Q102" si="14">+IF(L93=6,K93*M93*1.503,"")</f>
        <v/>
      </c>
      <c r="R93" s="123" t="str">
        <f t="shared" si="5"/>
        <v/>
      </c>
      <c r="S93" s="115"/>
      <c r="T93" s="116"/>
      <c r="U93" s="117"/>
      <c r="V93" s="118"/>
      <c r="W93" s="118"/>
      <c r="X93" s="115"/>
      <c r="Y93" s="115"/>
      <c r="Z93" s="115"/>
      <c r="AA93" s="116"/>
      <c r="AB93" s="117"/>
      <c r="AC93" s="118"/>
      <c r="AD93" s="119"/>
      <c r="AE93" s="119"/>
      <c r="AF93" s="119"/>
      <c r="AG93" s="119"/>
      <c r="AH93" s="119"/>
      <c r="AI93" s="120"/>
      <c r="AJ93" s="120"/>
    </row>
    <row r="94" spans="1:36" s="121" customFormat="1" ht="15" x14ac:dyDescent="0.25">
      <c r="A94" s="291"/>
      <c r="B94" s="287"/>
      <c r="C94" s="281"/>
      <c r="D94" s="281"/>
      <c r="E94" s="281"/>
      <c r="F94" s="281"/>
      <c r="G94" s="279"/>
      <c r="H94" s="279"/>
      <c r="I94" s="279"/>
      <c r="J94" s="279"/>
      <c r="K94" s="123">
        <f>(D89+0.6)*3.281</f>
        <v>1.9685999999999999</v>
      </c>
      <c r="L94" s="124"/>
      <c r="M94" s="124"/>
      <c r="N94" s="123" t="str">
        <f t="shared" si="11"/>
        <v/>
      </c>
      <c r="O94" s="123" t="str">
        <f t="shared" si="12"/>
        <v/>
      </c>
      <c r="P94" s="123" t="str">
        <f t="shared" si="13"/>
        <v/>
      </c>
      <c r="Q94" s="123" t="str">
        <f t="shared" si="14"/>
        <v/>
      </c>
      <c r="R94" s="123" t="str">
        <f t="shared" si="5"/>
        <v/>
      </c>
      <c r="S94" s="115"/>
      <c r="T94" s="116"/>
      <c r="U94" s="117"/>
      <c r="V94" s="118"/>
      <c r="W94" s="118"/>
      <c r="X94" s="115"/>
      <c r="Y94" s="115"/>
      <c r="Z94" s="115"/>
      <c r="AA94" s="116"/>
      <c r="AB94" s="117"/>
      <c r="AC94" s="118"/>
      <c r="AD94" s="119"/>
      <c r="AE94" s="119"/>
      <c r="AF94" s="119"/>
      <c r="AG94" s="119"/>
      <c r="AH94" s="119"/>
      <c r="AI94" s="120"/>
      <c r="AJ94" s="120"/>
    </row>
    <row r="95" spans="1:36" s="121" customFormat="1" ht="15" x14ac:dyDescent="0.25">
      <c r="A95" s="291"/>
      <c r="B95" s="287"/>
      <c r="C95" s="281"/>
      <c r="D95" s="281"/>
      <c r="E95" s="281"/>
      <c r="F95" s="281"/>
      <c r="G95" s="279">
        <f>C95*D95*E95</f>
        <v>0</v>
      </c>
      <c r="H95" s="279"/>
      <c r="I95" s="279">
        <f>(C95+C95+D95+D95)*F95</f>
        <v>0</v>
      </c>
      <c r="J95" s="279">
        <f>C95*D95*F95</f>
        <v>0</v>
      </c>
      <c r="K95" s="123">
        <f>(C95+0.6)*3.281</f>
        <v>1.9685999999999999</v>
      </c>
      <c r="L95" s="124"/>
      <c r="M95" s="124"/>
      <c r="N95" s="123" t="str">
        <f t="shared" si="11"/>
        <v/>
      </c>
      <c r="O95" s="123" t="str">
        <f t="shared" si="12"/>
        <v/>
      </c>
      <c r="P95" s="123" t="str">
        <f t="shared" si="13"/>
        <v/>
      </c>
      <c r="Q95" s="123" t="str">
        <f t="shared" si="14"/>
        <v/>
      </c>
      <c r="R95" s="123" t="str">
        <f t="shared" si="5"/>
        <v/>
      </c>
      <c r="S95" s="115"/>
      <c r="T95" s="116"/>
      <c r="U95" s="117"/>
      <c r="V95" s="118"/>
      <c r="W95" s="118"/>
      <c r="X95" s="115"/>
      <c r="Y95" s="115"/>
      <c r="Z95" s="115"/>
      <c r="AA95" s="116"/>
      <c r="AB95" s="117"/>
      <c r="AC95" s="118"/>
      <c r="AD95" s="119"/>
      <c r="AE95" s="119"/>
      <c r="AF95" s="119"/>
      <c r="AG95" s="119"/>
      <c r="AH95" s="119"/>
      <c r="AI95" s="120"/>
      <c r="AJ95" s="120"/>
    </row>
    <row r="96" spans="1:36" s="121" customFormat="1" ht="15" x14ac:dyDescent="0.25">
      <c r="A96" s="291"/>
      <c r="B96" s="287"/>
      <c r="C96" s="281"/>
      <c r="D96" s="281"/>
      <c r="E96" s="281"/>
      <c r="F96" s="281"/>
      <c r="G96" s="279"/>
      <c r="H96" s="279"/>
      <c r="I96" s="279"/>
      <c r="J96" s="279"/>
      <c r="K96" s="123">
        <f>(D95+0.6)*3.281</f>
        <v>1.9685999999999999</v>
      </c>
      <c r="L96" s="124"/>
      <c r="M96" s="124"/>
      <c r="N96" s="123" t="str">
        <f t="shared" si="11"/>
        <v/>
      </c>
      <c r="O96" s="123" t="str">
        <f t="shared" si="12"/>
        <v/>
      </c>
      <c r="P96" s="123" t="str">
        <f t="shared" si="13"/>
        <v/>
      </c>
      <c r="Q96" s="123" t="str">
        <f t="shared" si="14"/>
        <v/>
      </c>
      <c r="R96" s="123" t="str">
        <f t="shared" si="5"/>
        <v/>
      </c>
      <c r="S96" s="115"/>
      <c r="T96" s="116"/>
      <c r="U96" s="117"/>
      <c r="V96" s="118"/>
      <c r="W96" s="118"/>
      <c r="X96" s="115"/>
      <c r="Y96" s="115"/>
      <c r="Z96" s="115"/>
      <c r="AA96" s="116"/>
      <c r="AB96" s="117"/>
      <c r="AC96" s="118"/>
      <c r="AD96" s="119"/>
      <c r="AE96" s="119"/>
      <c r="AF96" s="119"/>
      <c r="AG96" s="119"/>
      <c r="AH96" s="119"/>
      <c r="AI96" s="120"/>
      <c r="AJ96" s="120"/>
    </row>
    <row r="97" spans="1:36" s="121" customFormat="1" ht="15" x14ac:dyDescent="0.25">
      <c r="A97" s="291"/>
      <c r="B97" s="287"/>
      <c r="C97" s="281"/>
      <c r="D97" s="281"/>
      <c r="E97" s="281"/>
      <c r="F97" s="281"/>
      <c r="G97" s="279"/>
      <c r="H97" s="279"/>
      <c r="I97" s="279"/>
      <c r="J97" s="279"/>
      <c r="K97" s="123">
        <f>(C95+0.6)*3.281</f>
        <v>1.9685999999999999</v>
      </c>
      <c r="L97" s="124"/>
      <c r="M97" s="124"/>
      <c r="N97" s="123" t="str">
        <f t="shared" si="11"/>
        <v/>
      </c>
      <c r="O97" s="123" t="str">
        <f t="shared" si="12"/>
        <v/>
      </c>
      <c r="P97" s="123" t="str">
        <f t="shared" si="13"/>
        <v/>
      </c>
      <c r="Q97" s="123" t="str">
        <f t="shared" si="14"/>
        <v/>
      </c>
      <c r="R97" s="123" t="str">
        <f t="shared" si="5"/>
        <v/>
      </c>
      <c r="S97" s="115"/>
      <c r="T97" s="116"/>
      <c r="U97" s="117"/>
      <c r="V97" s="118"/>
      <c r="W97" s="118"/>
      <c r="X97" s="115"/>
      <c r="Y97" s="115"/>
      <c r="Z97" s="115"/>
      <c r="AA97" s="116"/>
      <c r="AB97" s="117"/>
      <c r="AC97" s="118"/>
      <c r="AD97" s="119"/>
      <c r="AE97" s="119"/>
      <c r="AF97" s="119"/>
      <c r="AG97" s="119"/>
      <c r="AH97" s="119"/>
      <c r="AI97" s="120"/>
      <c r="AJ97" s="120"/>
    </row>
    <row r="98" spans="1:36" s="121" customFormat="1" ht="15" x14ac:dyDescent="0.25">
      <c r="A98" s="291"/>
      <c r="B98" s="287"/>
      <c r="C98" s="281"/>
      <c r="D98" s="281"/>
      <c r="E98" s="281"/>
      <c r="F98" s="281"/>
      <c r="G98" s="279"/>
      <c r="H98" s="279"/>
      <c r="I98" s="279"/>
      <c r="J98" s="279"/>
      <c r="K98" s="123">
        <f>(D95+0.6)*3.281</f>
        <v>1.9685999999999999</v>
      </c>
      <c r="L98" s="124"/>
      <c r="M98" s="124"/>
      <c r="N98" s="123" t="str">
        <f t="shared" si="11"/>
        <v/>
      </c>
      <c r="O98" s="123" t="str">
        <f t="shared" si="12"/>
        <v/>
      </c>
      <c r="P98" s="123" t="str">
        <f t="shared" si="13"/>
        <v/>
      </c>
      <c r="Q98" s="123" t="str">
        <f t="shared" si="14"/>
        <v/>
      </c>
      <c r="R98" s="123" t="str">
        <f t="shared" si="5"/>
        <v/>
      </c>
      <c r="S98" s="115"/>
      <c r="T98" s="116"/>
      <c r="U98" s="117"/>
      <c r="V98" s="118"/>
      <c r="W98" s="118"/>
      <c r="X98" s="115"/>
      <c r="Y98" s="115"/>
      <c r="Z98" s="115"/>
      <c r="AA98" s="116"/>
      <c r="AB98" s="117"/>
      <c r="AC98" s="118"/>
      <c r="AD98" s="119"/>
      <c r="AE98" s="119"/>
      <c r="AF98" s="119"/>
      <c r="AG98" s="119"/>
      <c r="AH98" s="119"/>
      <c r="AI98" s="120"/>
      <c r="AJ98" s="120"/>
    </row>
    <row r="99" spans="1:36" s="121" customFormat="1" ht="15" x14ac:dyDescent="0.25">
      <c r="A99" s="291"/>
      <c r="B99" s="287"/>
      <c r="C99" s="281"/>
      <c r="D99" s="281"/>
      <c r="E99" s="281"/>
      <c r="F99" s="281"/>
      <c r="G99" s="279">
        <v>0</v>
      </c>
      <c r="H99" s="279"/>
      <c r="I99" s="279">
        <f>C99*D99*2</f>
        <v>0</v>
      </c>
      <c r="J99" s="279">
        <f>C99*D99*F99</f>
        <v>0</v>
      </c>
      <c r="K99" s="123">
        <f>(C99+0.6)*3.281</f>
        <v>1.9685999999999999</v>
      </c>
      <c r="L99" s="124"/>
      <c r="M99" s="124"/>
      <c r="N99" s="123" t="str">
        <f t="shared" si="11"/>
        <v/>
      </c>
      <c r="O99" s="123" t="str">
        <f t="shared" si="12"/>
        <v/>
      </c>
      <c r="P99" s="123" t="str">
        <f t="shared" si="13"/>
        <v/>
      </c>
      <c r="Q99" s="123" t="str">
        <f t="shared" si="14"/>
        <v/>
      </c>
      <c r="R99" s="123" t="str">
        <f t="shared" si="5"/>
        <v/>
      </c>
      <c r="S99" s="115"/>
      <c r="T99" s="116"/>
      <c r="U99" s="117"/>
      <c r="V99" s="118"/>
      <c r="W99" s="118"/>
      <c r="X99" s="115"/>
      <c r="Y99" s="115"/>
      <c r="Z99" s="115"/>
      <c r="AA99" s="116"/>
      <c r="AB99" s="117"/>
      <c r="AC99" s="118"/>
      <c r="AD99" s="119"/>
      <c r="AE99" s="119"/>
      <c r="AF99" s="119"/>
      <c r="AG99" s="119"/>
      <c r="AH99" s="119"/>
      <c r="AI99" s="120"/>
      <c r="AJ99" s="120"/>
    </row>
    <row r="100" spans="1:36" s="121" customFormat="1" ht="15" x14ac:dyDescent="0.25">
      <c r="A100" s="291"/>
      <c r="B100" s="287"/>
      <c r="C100" s="281"/>
      <c r="D100" s="281"/>
      <c r="E100" s="281"/>
      <c r="F100" s="281"/>
      <c r="G100" s="279"/>
      <c r="H100" s="279"/>
      <c r="I100" s="279"/>
      <c r="J100" s="279"/>
      <c r="K100" s="123">
        <f>(D99+0.6)*3.281</f>
        <v>1.9685999999999999</v>
      </c>
      <c r="L100" s="124"/>
      <c r="M100" s="124"/>
      <c r="N100" s="123" t="str">
        <f t="shared" si="11"/>
        <v/>
      </c>
      <c r="O100" s="123" t="str">
        <f t="shared" si="12"/>
        <v/>
      </c>
      <c r="P100" s="123" t="str">
        <f t="shared" si="13"/>
        <v/>
      </c>
      <c r="Q100" s="123" t="str">
        <f t="shared" si="14"/>
        <v/>
      </c>
      <c r="R100" s="123" t="str">
        <f t="shared" si="5"/>
        <v/>
      </c>
      <c r="S100" s="115"/>
      <c r="T100" s="116"/>
      <c r="U100" s="117"/>
      <c r="V100" s="118"/>
      <c r="W100" s="118"/>
      <c r="X100" s="115"/>
      <c r="Y100" s="115"/>
      <c r="Z100" s="115"/>
      <c r="AA100" s="116"/>
      <c r="AB100" s="117"/>
      <c r="AC100" s="118"/>
      <c r="AD100" s="119"/>
      <c r="AE100" s="119"/>
      <c r="AF100" s="119"/>
      <c r="AG100" s="119"/>
      <c r="AH100" s="119"/>
      <c r="AI100" s="120"/>
      <c r="AJ100" s="120"/>
    </row>
    <row r="101" spans="1:36" s="121" customFormat="1" ht="15" x14ac:dyDescent="0.25">
      <c r="A101" s="291"/>
      <c r="B101" s="287"/>
      <c r="C101" s="281"/>
      <c r="D101" s="281"/>
      <c r="E101" s="281"/>
      <c r="F101" s="281"/>
      <c r="G101" s="279"/>
      <c r="H101" s="279"/>
      <c r="I101" s="279"/>
      <c r="J101" s="279"/>
      <c r="K101" s="123">
        <f>(C99+0.6)*3.281</f>
        <v>1.9685999999999999</v>
      </c>
      <c r="L101" s="124"/>
      <c r="M101" s="124"/>
      <c r="N101" s="123" t="str">
        <f t="shared" si="11"/>
        <v/>
      </c>
      <c r="O101" s="123" t="str">
        <f t="shared" si="12"/>
        <v/>
      </c>
      <c r="P101" s="123" t="str">
        <f t="shared" si="13"/>
        <v/>
      </c>
      <c r="Q101" s="123" t="str">
        <f t="shared" si="14"/>
        <v/>
      </c>
      <c r="R101" s="123" t="str">
        <f t="shared" si="5"/>
        <v/>
      </c>
      <c r="S101" s="115"/>
      <c r="T101" s="116"/>
      <c r="U101" s="117"/>
      <c r="V101" s="118"/>
      <c r="W101" s="118"/>
      <c r="X101" s="115"/>
      <c r="Y101" s="115"/>
      <c r="Z101" s="115"/>
      <c r="AA101" s="116"/>
      <c r="AB101" s="117"/>
      <c r="AC101" s="118"/>
      <c r="AD101" s="119"/>
      <c r="AE101" s="119"/>
      <c r="AF101" s="119"/>
      <c r="AG101" s="119"/>
      <c r="AH101" s="119"/>
      <c r="AI101" s="120"/>
      <c r="AJ101" s="120"/>
    </row>
    <row r="102" spans="1:36" s="121" customFormat="1" ht="15" x14ac:dyDescent="0.25">
      <c r="A102" s="291"/>
      <c r="B102" s="287"/>
      <c r="C102" s="281"/>
      <c r="D102" s="281"/>
      <c r="E102" s="281"/>
      <c r="F102" s="281"/>
      <c r="G102" s="279"/>
      <c r="H102" s="279"/>
      <c r="I102" s="279"/>
      <c r="J102" s="279"/>
      <c r="K102" s="123">
        <f>(D99+0.6)*3.281</f>
        <v>1.9685999999999999</v>
      </c>
      <c r="L102" s="124"/>
      <c r="M102" s="124"/>
      <c r="N102" s="123" t="str">
        <f t="shared" si="11"/>
        <v/>
      </c>
      <c r="O102" s="123" t="str">
        <f t="shared" si="12"/>
        <v/>
      </c>
      <c r="P102" s="123" t="str">
        <f t="shared" si="13"/>
        <v/>
      </c>
      <c r="Q102" s="123" t="str">
        <f t="shared" si="14"/>
        <v/>
      </c>
      <c r="R102" s="123" t="str">
        <f t="shared" si="5"/>
        <v/>
      </c>
      <c r="S102" s="115"/>
      <c r="T102" s="116"/>
      <c r="U102" s="117"/>
      <c r="V102" s="118"/>
      <c r="W102" s="118"/>
      <c r="X102" s="115"/>
      <c r="Y102" s="115"/>
      <c r="Z102" s="115"/>
      <c r="AA102" s="116"/>
      <c r="AB102" s="117"/>
      <c r="AC102" s="118"/>
      <c r="AD102" s="119"/>
      <c r="AE102" s="119"/>
      <c r="AF102" s="119"/>
      <c r="AG102" s="119"/>
      <c r="AH102" s="119"/>
      <c r="AI102" s="120"/>
      <c r="AJ102" s="120"/>
    </row>
    <row r="103" spans="1:36" ht="15.75" x14ac:dyDescent="0.25">
      <c r="A103" s="166"/>
      <c r="B103" s="110"/>
      <c r="C103" s="110"/>
      <c r="D103" s="110"/>
      <c r="E103" s="110"/>
      <c r="F103" s="110"/>
      <c r="G103" s="127">
        <f>SUM(G59:G102)</f>
        <v>0</v>
      </c>
      <c r="H103" s="127">
        <f>SUM(H59:H102)</f>
        <v>0</v>
      </c>
      <c r="I103" s="127">
        <f>SUM(I59:I102)</f>
        <v>0</v>
      </c>
      <c r="J103" s="127">
        <f>SUM(J59:J102)</f>
        <v>0</v>
      </c>
      <c r="K103" s="128"/>
      <c r="L103" s="129"/>
      <c r="M103" s="128"/>
      <c r="N103" s="127">
        <f>SUM(N59:N102)</f>
        <v>0</v>
      </c>
      <c r="O103" s="127">
        <f>SUM(O59:O102)</f>
        <v>0</v>
      </c>
      <c r="P103" s="127">
        <f>SUM(P59:P102)</f>
        <v>0</v>
      </c>
      <c r="Q103" s="127">
        <f>SUM(Q59:Q102)</f>
        <v>0</v>
      </c>
      <c r="R103" s="127">
        <f>SUM(R59:R102)</f>
        <v>0</v>
      </c>
      <c r="S103" s="109"/>
      <c r="T103" s="106"/>
      <c r="U103" s="107"/>
      <c r="V103" s="108"/>
      <c r="W103" s="108"/>
      <c r="X103" s="109"/>
      <c r="Y103" s="109"/>
      <c r="Z103" s="109"/>
      <c r="AA103" s="106"/>
      <c r="AB103" s="107"/>
      <c r="AC103" s="108"/>
      <c r="AD103" s="110"/>
      <c r="AE103" s="110"/>
      <c r="AF103" s="110"/>
      <c r="AG103" s="110"/>
      <c r="AH103" s="110"/>
      <c r="AI103" s="111"/>
      <c r="AJ103" s="111"/>
    </row>
    <row r="104" spans="1:36" ht="15.75" x14ac:dyDescent="0.25">
      <c r="A104" s="168"/>
      <c r="B104" s="131"/>
      <c r="C104" s="131"/>
      <c r="D104" s="131"/>
      <c r="E104" s="131"/>
      <c r="F104" s="131"/>
      <c r="G104" s="132"/>
      <c r="H104" s="132"/>
      <c r="I104" s="132"/>
      <c r="J104" s="133" t="s">
        <v>197</v>
      </c>
      <c r="K104" s="134"/>
      <c r="L104" s="135"/>
      <c r="M104" s="136"/>
      <c r="N104" s="109"/>
      <c r="O104" s="109"/>
      <c r="P104" s="109"/>
      <c r="Q104" s="109"/>
      <c r="R104" s="109"/>
      <c r="S104" s="109"/>
      <c r="T104" s="106"/>
      <c r="U104" s="107"/>
      <c r="V104" s="108"/>
      <c r="W104" s="108"/>
      <c r="X104" s="109"/>
      <c r="Y104" s="109"/>
      <c r="Z104" s="109"/>
      <c r="AA104" s="106"/>
      <c r="AB104" s="107"/>
      <c r="AC104" s="108"/>
      <c r="AD104" s="110"/>
      <c r="AE104" s="110"/>
      <c r="AF104" s="110"/>
      <c r="AG104" s="110"/>
      <c r="AH104" s="110"/>
      <c r="AI104" s="111"/>
      <c r="AJ104" s="111"/>
    </row>
    <row r="105" spans="1:36" x14ac:dyDescent="0.2">
      <c r="A105" s="169"/>
      <c r="H105" s="138"/>
      <c r="I105" s="138"/>
      <c r="J105" s="138"/>
      <c r="K105" s="138"/>
      <c r="L105" s="138"/>
      <c r="S105" s="139"/>
      <c r="T105" s="139"/>
      <c r="U105" s="139"/>
      <c r="V105" s="139"/>
      <c r="W105" s="140"/>
      <c r="Y105" s="141"/>
      <c r="Z105" s="141"/>
      <c r="AA105" s="142"/>
    </row>
    <row r="106" spans="1:36" x14ac:dyDescent="0.2">
      <c r="A106" s="169"/>
      <c r="H106" s="138"/>
      <c r="I106" s="138"/>
      <c r="J106" s="138"/>
      <c r="K106" s="138"/>
      <c r="L106" s="138"/>
      <c r="S106" s="139"/>
      <c r="T106" s="139"/>
      <c r="U106" s="139"/>
      <c r="V106" s="139"/>
      <c r="W106" s="140"/>
      <c r="Y106" s="141"/>
      <c r="Z106" s="141"/>
      <c r="AA106" s="142"/>
    </row>
    <row r="107" spans="1:36" x14ac:dyDescent="0.2">
      <c r="A107" s="167"/>
      <c r="B107" s="111"/>
      <c r="C107" s="111"/>
      <c r="D107" s="111"/>
      <c r="E107" s="111"/>
      <c r="F107" s="111"/>
      <c r="G107" s="111"/>
      <c r="H107" s="148"/>
      <c r="I107" s="148"/>
      <c r="J107" s="148"/>
      <c r="K107" s="148"/>
      <c r="L107" s="148"/>
      <c r="M107" s="111"/>
      <c r="N107" s="111"/>
      <c r="O107" s="111"/>
      <c r="P107" s="111"/>
      <c r="Q107" s="111"/>
      <c r="R107" s="111"/>
      <c r="S107" s="139"/>
      <c r="T107" s="139"/>
      <c r="U107" s="139"/>
      <c r="V107" s="139"/>
      <c r="W107" s="140"/>
      <c r="Y107" s="141"/>
      <c r="Z107" s="141"/>
    </row>
    <row r="108" spans="1:36" x14ac:dyDescent="0.2">
      <c r="A108" s="167"/>
      <c r="B108" s="111"/>
      <c r="C108" s="111"/>
      <c r="D108" s="111"/>
      <c r="E108" s="111"/>
      <c r="F108" s="111"/>
      <c r="G108" s="111"/>
      <c r="H108" s="148"/>
      <c r="I108" s="148"/>
      <c r="J108" s="148"/>
      <c r="K108" s="148"/>
      <c r="L108" s="148"/>
      <c r="M108" s="111"/>
      <c r="N108" s="111"/>
      <c r="O108" s="111"/>
      <c r="P108" s="111"/>
      <c r="Q108" s="111"/>
      <c r="R108" s="111"/>
      <c r="S108" s="139"/>
      <c r="T108" s="139"/>
      <c r="U108" s="139"/>
      <c r="V108" s="139"/>
      <c r="W108" s="140"/>
      <c r="Y108" s="141"/>
      <c r="Z108" s="141"/>
    </row>
    <row r="109" spans="1:36" x14ac:dyDescent="0.2">
      <c r="A109" s="167"/>
      <c r="H109" s="138"/>
      <c r="I109" s="138"/>
      <c r="J109" s="138"/>
      <c r="K109" s="138"/>
      <c r="L109" s="138"/>
      <c r="M109" s="140"/>
      <c r="N109" s="140"/>
      <c r="O109" s="140"/>
      <c r="P109" s="140"/>
      <c r="Q109" s="140"/>
      <c r="R109" s="140"/>
      <c r="S109" s="139"/>
      <c r="T109" s="139"/>
      <c r="U109" s="139"/>
      <c r="V109" s="139"/>
      <c r="W109" s="140"/>
      <c r="Y109" s="141"/>
      <c r="Z109" s="141"/>
    </row>
    <row r="110" spans="1:36" x14ac:dyDescent="0.2">
      <c r="A110" s="167"/>
      <c r="H110" s="138"/>
      <c r="I110" s="138"/>
      <c r="J110" s="138"/>
      <c r="K110" s="138"/>
      <c r="L110" s="138"/>
      <c r="S110" s="139"/>
      <c r="T110" s="139"/>
      <c r="U110" s="139"/>
      <c r="V110" s="139"/>
      <c r="W110" s="140"/>
      <c r="Y110" s="141"/>
      <c r="Z110" s="141"/>
    </row>
    <row r="111" spans="1:36" x14ac:dyDescent="0.2">
      <c r="A111" s="167"/>
      <c r="H111" s="138"/>
      <c r="I111" s="138"/>
      <c r="J111" s="138"/>
      <c r="K111" s="138"/>
      <c r="L111" s="138"/>
      <c r="S111" s="139"/>
      <c r="T111" s="139"/>
      <c r="U111" s="141"/>
      <c r="V111" s="140"/>
      <c r="X111" s="141"/>
      <c r="Y111" s="141"/>
    </row>
    <row r="112" spans="1:36" x14ac:dyDescent="0.2">
      <c r="A112" s="167"/>
      <c r="H112" s="138"/>
      <c r="I112" s="138"/>
      <c r="J112" s="138"/>
      <c r="K112" s="138"/>
      <c r="L112" s="138"/>
      <c r="S112" s="139"/>
      <c r="T112" s="139"/>
      <c r="U112" s="141"/>
      <c r="V112" s="140"/>
      <c r="X112" s="141"/>
      <c r="Y112" s="141"/>
    </row>
    <row r="113" spans="1:25" x14ac:dyDescent="0.2">
      <c r="A113" s="167"/>
      <c r="B113" s="111"/>
      <c r="C113" s="111"/>
      <c r="D113" s="111"/>
      <c r="E113" s="111"/>
      <c r="F113" s="111"/>
      <c r="G113" s="111"/>
      <c r="H113" s="148"/>
      <c r="I113" s="148"/>
      <c r="J113" s="148"/>
      <c r="K113" s="148"/>
      <c r="L113" s="148"/>
      <c r="M113" s="111"/>
      <c r="N113" s="148"/>
      <c r="O113" s="148"/>
      <c r="P113" s="148"/>
      <c r="Q113" s="148"/>
      <c r="R113" s="148"/>
      <c r="S113" s="139"/>
      <c r="T113" s="139"/>
      <c r="U113" s="141"/>
      <c r="V113" s="140"/>
      <c r="X113" s="141"/>
      <c r="Y113" s="141"/>
    </row>
    <row r="114" spans="1:25" x14ac:dyDescent="0.2">
      <c r="A114" s="167"/>
      <c r="B114" s="111"/>
      <c r="C114" s="111"/>
      <c r="D114" s="111"/>
      <c r="E114" s="111"/>
      <c r="F114" s="111"/>
      <c r="G114" s="111"/>
      <c r="H114" s="148"/>
      <c r="I114" s="148"/>
      <c r="J114" s="148"/>
      <c r="K114" s="148"/>
      <c r="L114" s="148"/>
      <c r="M114" s="111"/>
      <c r="N114" s="148"/>
      <c r="O114" s="148"/>
      <c r="P114" s="148"/>
      <c r="Q114" s="148"/>
      <c r="R114" s="148"/>
      <c r="S114" s="139"/>
      <c r="T114" s="139"/>
      <c r="U114" s="141"/>
      <c r="V114" s="140"/>
      <c r="X114" s="141"/>
      <c r="Y114" s="141"/>
    </row>
    <row r="115" spans="1:25" x14ac:dyDescent="0.2">
      <c r="A115" s="167"/>
      <c r="H115" s="138"/>
      <c r="I115" s="138"/>
      <c r="J115" s="138"/>
      <c r="K115" s="138"/>
      <c r="L115" s="138"/>
      <c r="M115" s="140"/>
      <c r="N115" s="142"/>
      <c r="O115" s="142"/>
      <c r="P115" s="142"/>
      <c r="Q115" s="142"/>
      <c r="R115" s="142"/>
      <c r="S115" s="139"/>
      <c r="T115" s="154"/>
      <c r="U115" s="111"/>
      <c r="V115" s="148"/>
      <c r="X115" s="141"/>
      <c r="Y115" s="141"/>
    </row>
    <row r="116" spans="1:25" x14ac:dyDescent="0.2">
      <c r="A116" s="167"/>
      <c r="H116" s="138"/>
      <c r="I116" s="138"/>
      <c r="J116" s="138"/>
      <c r="K116" s="138"/>
      <c r="L116" s="138"/>
      <c r="S116" s="139"/>
      <c r="T116" s="139"/>
      <c r="U116" s="111"/>
      <c r="V116" s="148"/>
      <c r="X116" s="141"/>
      <c r="Y116" s="141"/>
    </row>
    <row r="117" spans="1:25" x14ac:dyDescent="0.2">
      <c r="A117" s="167"/>
      <c r="B117" s="111"/>
      <c r="C117" s="111"/>
      <c r="D117" s="111"/>
      <c r="E117" s="111"/>
      <c r="F117" s="111"/>
      <c r="G117" s="111"/>
      <c r="H117" s="148"/>
      <c r="I117" s="148"/>
      <c r="J117" s="148"/>
      <c r="K117" s="148"/>
      <c r="L117" s="148"/>
      <c r="M117" s="111"/>
      <c r="N117" s="148"/>
      <c r="O117" s="148"/>
      <c r="P117" s="148"/>
      <c r="Q117" s="148"/>
      <c r="R117" s="148"/>
      <c r="S117" s="139"/>
      <c r="T117" s="139"/>
      <c r="U117" s="111"/>
      <c r="V117" s="148"/>
      <c r="X117" s="141"/>
      <c r="Y117" s="141"/>
    </row>
    <row r="118" spans="1:25" x14ac:dyDescent="0.2">
      <c r="A118" s="167"/>
      <c r="B118" s="111"/>
      <c r="C118" s="111"/>
      <c r="D118" s="111"/>
      <c r="E118" s="111"/>
      <c r="F118" s="111"/>
      <c r="G118" s="111"/>
      <c r="H118" s="148"/>
      <c r="I118" s="148"/>
      <c r="J118" s="148"/>
      <c r="K118" s="148"/>
      <c r="L118" s="148"/>
      <c r="M118" s="111"/>
      <c r="N118" s="148"/>
      <c r="O118" s="148"/>
      <c r="P118" s="148"/>
      <c r="Q118" s="148"/>
      <c r="R118" s="148"/>
      <c r="S118" s="139"/>
      <c r="T118" s="139"/>
      <c r="U118" s="142"/>
      <c r="V118" s="141"/>
      <c r="X118" s="141"/>
      <c r="Y118" s="141"/>
    </row>
    <row r="119" spans="1:25" x14ac:dyDescent="0.2">
      <c r="A119" s="167"/>
      <c r="H119" s="138"/>
      <c r="I119" s="138"/>
      <c r="J119" s="138"/>
      <c r="K119" s="138"/>
      <c r="L119" s="138"/>
      <c r="M119" s="140"/>
      <c r="N119" s="141"/>
      <c r="O119" s="141"/>
      <c r="P119" s="141"/>
      <c r="Q119" s="141"/>
      <c r="R119" s="141"/>
      <c r="S119" s="139"/>
      <c r="T119" s="139"/>
      <c r="U119" s="142"/>
      <c r="V119" s="141"/>
      <c r="X119" s="141"/>
      <c r="Y119" s="141"/>
    </row>
    <row r="120" spans="1:25" x14ac:dyDescent="0.2">
      <c r="A120" s="167"/>
      <c r="E120" s="150"/>
      <c r="F120" s="150"/>
      <c r="G120" s="150"/>
      <c r="H120" s="150"/>
      <c r="I120" s="150"/>
      <c r="J120" s="150"/>
      <c r="K120" s="150"/>
      <c r="L120" s="150"/>
      <c r="M120" s="151"/>
      <c r="N120" s="152"/>
      <c r="O120" s="152"/>
      <c r="P120" s="152"/>
      <c r="Q120" s="152"/>
      <c r="R120" s="152"/>
      <c r="S120" s="139"/>
      <c r="T120" s="139"/>
      <c r="U120" s="142"/>
      <c r="V120" s="141"/>
      <c r="X120" s="141"/>
      <c r="Y120" s="141"/>
    </row>
    <row r="121" spans="1:25" x14ac:dyDescent="0.2">
      <c r="A121" s="167"/>
      <c r="H121" s="138"/>
      <c r="I121" s="138"/>
      <c r="J121" s="138"/>
      <c r="K121" s="138"/>
      <c r="L121" s="138"/>
      <c r="M121" s="140"/>
      <c r="N121" s="141"/>
      <c r="O121" s="141"/>
      <c r="P121" s="141"/>
      <c r="Q121" s="141"/>
      <c r="R121" s="141"/>
      <c r="S121" s="139"/>
      <c r="T121" s="139"/>
      <c r="U121" s="142"/>
      <c r="V121" s="141"/>
      <c r="X121" s="141"/>
      <c r="Y121" s="141"/>
    </row>
    <row r="122" spans="1:25" x14ac:dyDescent="0.2">
      <c r="A122" s="167"/>
      <c r="H122" s="138"/>
      <c r="I122" s="138"/>
      <c r="J122" s="138"/>
      <c r="K122" s="138"/>
      <c r="L122" s="138"/>
      <c r="M122" s="155"/>
      <c r="N122" s="139"/>
      <c r="O122" s="139"/>
      <c r="P122" s="139"/>
      <c r="Q122" s="139"/>
      <c r="R122" s="139"/>
      <c r="S122" s="139"/>
      <c r="T122" s="141"/>
      <c r="U122" s="142"/>
      <c r="V122" s="141"/>
      <c r="X122" s="141"/>
      <c r="Y122" s="141"/>
    </row>
    <row r="123" spans="1:25" x14ac:dyDescent="0.2">
      <c r="A123" s="167"/>
      <c r="H123" s="138"/>
      <c r="I123" s="138"/>
      <c r="J123" s="138"/>
      <c r="K123" s="138"/>
      <c r="L123" s="138"/>
      <c r="S123" s="139"/>
      <c r="T123" s="139"/>
      <c r="U123" s="142"/>
      <c r="V123" s="141"/>
      <c r="X123" s="141"/>
      <c r="Y123" s="141"/>
    </row>
    <row r="124" spans="1:25" x14ac:dyDescent="0.2">
      <c r="A124" s="167"/>
      <c r="B124" s="111"/>
      <c r="C124" s="111"/>
      <c r="D124" s="111"/>
      <c r="E124" s="111"/>
      <c r="F124" s="111"/>
      <c r="G124" s="111"/>
      <c r="H124" s="148"/>
      <c r="I124" s="148"/>
      <c r="J124" s="148"/>
      <c r="K124" s="148"/>
      <c r="L124" s="148"/>
      <c r="M124" s="111"/>
      <c r="N124" s="111"/>
      <c r="O124" s="111"/>
      <c r="P124" s="111"/>
      <c r="Q124" s="111"/>
      <c r="R124" s="111"/>
      <c r="S124" s="139"/>
      <c r="T124" s="139"/>
      <c r="U124" s="142"/>
      <c r="V124" s="141"/>
      <c r="X124" s="141"/>
      <c r="Y124" s="141"/>
    </row>
    <row r="125" spans="1:25" x14ac:dyDescent="0.2">
      <c r="A125" s="167"/>
      <c r="B125" s="111"/>
      <c r="C125" s="111"/>
      <c r="D125" s="111"/>
      <c r="E125" s="111"/>
      <c r="F125" s="111"/>
      <c r="G125" s="111"/>
      <c r="H125" s="148"/>
      <c r="I125" s="148"/>
      <c r="J125" s="148"/>
      <c r="K125" s="148"/>
      <c r="L125" s="148"/>
      <c r="M125" s="111"/>
      <c r="N125" s="111"/>
      <c r="O125" s="111"/>
      <c r="P125" s="111"/>
      <c r="Q125" s="111"/>
      <c r="R125" s="111"/>
      <c r="S125" s="139"/>
      <c r="T125" s="139"/>
      <c r="U125" s="142"/>
      <c r="V125" s="141"/>
      <c r="X125" s="141"/>
      <c r="Y125" s="141"/>
    </row>
    <row r="126" spans="1:25" x14ac:dyDescent="0.2">
      <c r="A126" s="167"/>
      <c r="H126" s="138"/>
      <c r="I126" s="138"/>
      <c r="J126" s="138"/>
      <c r="K126" s="138"/>
      <c r="L126" s="138"/>
      <c r="M126" s="140"/>
      <c r="N126" s="140"/>
      <c r="O126" s="140"/>
      <c r="P126" s="140"/>
      <c r="Q126" s="140"/>
      <c r="R126" s="140"/>
      <c r="S126" s="139"/>
      <c r="T126" s="139"/>
      <c r="U126" s="142"/>
      <c r="V126" s="141"/>
      <c r="X126" s="141"/>
      <c r="Y126" s="141"/>
    </row>
    <row r="127" spans="1:25" x14ac:dyDescent="0.2">
      <c r="A127" s="167"/>
      <c r="H127" s="138"/>
      <c r="I127" s="138"/>
      <c r="J127" s="138"/>
      <c r="K127" s="138"/>
      <c r="L127" s="138"/>
      <c r="S127" s="139"/>
      <c r="T127" s="139"/>
      <c r="U127" s="142"/>
      <c r="V127" s="141"/>
      <c r="X127" s="141"/>
      <c r="Y127" s="141"/>
    </row>
    <row r="128" spans="1:25" x14ac:dyDescent="0.2">
      <c r="A128" s="167"/>
      <c r="H128" s="138"/>
      <c r="I128" s="138"/>
      <c r="J128" s="138"/>
      <c r="K128" s="138"/>
      <c r="L128" s="138"/>
      <c r="S128" s="139"/>
      <c r="T128" s="139"/>
      <c r="U128" s="142"/>
      <c r="V128" s="141"/>
      <c r="X128" s="141"/>
      <c r="Y128" s="141"/>
    </row>
    <row r="129" spans="1:25" x14ac:dyDescent="0.2">
      <c r="A129" s="167"/>
      <c r="H129" s="138"/>
      <c r="I129" s="138"/>
      <c r="J129" s="138"/>
      <c r="K129" s="138"/>
      <c r="L129" s="138"/>
      <c r="S129" s="139"/>
      <c r="T129" s="139"/>
      <c r="U129" s="142"/>
      <c r="V129" s="141"/>
      <c r="X129" s="141"/>
      <c r="Y129" s="141"/>
    </row>
    <row r="130" spans="1:25" x14ac:dyDescent="0.2">
      <c r="A130" s="167"/>
      <c r="B130" s="111"/>
      <c r="C130" s="111"/>
      <c r="D130" s="111"/>
      <c r="E130" s="111"/>
      <c r="F130" s="111"/>
      <c r="G130" s="111"/>
      <c r="H130" s="148"/>
      <c r="I130" s="148"/>
      <c r="J130" s="148"/>
      <c r="K130" s="148"/>
      <c r="L130" s="148"/>
      <c r="M130" s="111"/>
      <c r="N130" s="148"/>
      <c r="O130" s="148"/>
      <c r="P130" s="148"/>
      <c r="Q130" s="148"/>
      <c r="R130" s="148"/>
      <c r="S130" s="139"/>
      <c r="T130" s="139"/>
      <c r="U130" s="142"/>
      <c r="V130" s="141"/>
      <c r="X130" s="141"/>
      <c r="Y130" s="141"/>
    </row>
    <row r="131" spans="1:25" x14ac:dyDescent="0.2">
      <c r="A131" s="167"/>
      <c r="B131" s="111"/>
      <c r="C131" s="111"/>
      <c r="D131" s="111"/>
      <c r="E131" s="111"/>
      <c r="F131" s="111"/>
      <c r="G131" s="111"/>
      <c r="H131" s="148"/>
      <c r="I131" s="148"/>
      <c r="J131" s="148"/>
      <c r="K131" s="148"/>
      <c r="L131" s="148"/>
      <c r="M131" s="111"/>
      <c r="N131" s="148"/>
      <c r="O131" s="148"/>
      <c r="P131" s="148"/>
      <c r="Q131" s="148"/>
      <c r="R131" s="148"/>
      <c r="S131" s="139"/>
      <c r="T131" s="139"/>
      <c r="U131" s="142"/>
      <c r="V131" s="141"/>
      <c r="X131" s="141"/>
      <c r="Y131" s="141"/>
    </row>
    <row r="132" spans="1:25" x14ac:dyDescent="0.2">
      <c r="A132" s="167"/>
      <c r="H132" s="138"/>
      <c r="I132" s="138"/>
      <c r="J132" s="138"/>
      <c r="K132" s="138"/>
      <c r="L132" s="138"/>
      <c r="M132" s="140"/>
      <c r="N132" s="142"/>
      <c r="O132" s="142"/>
      <c r="P132" s="142"/>
      <c r="Q132" s="142"/>
      <c r="R132" s="142"/>
      <c r="S132" s="139"/>
      <c r="T132" s="139"/>
      <c r="U132" s="142"/>
      <c r="V132" s="141"/>
      <c r="X132" s="141"/>
      <c r="Y132" s="141"/>
    </row>
    <row r="133" spans="1:25" x14ac:dyDescent="0.2">
      <c r="A133" s="167"/>
      <c r="H133" s="138"/>
      <c r="I133" s="138"/>
      <c r="J133" s="138"/>
      <c r="K133" s="138"/>
      <c r="L133" s="138"/>
      <c r="S133" s="139"/>
      <c r="T133" s="139"/>
      <c r="U133" s="142"/>
      <c r="V133" s="141"/>
      <c r="X133" s="141"/>
      <c r="Y133" s="141"/>
    </row>
    <row r="134" spans="1:25" x14ac:dyDescent="0.2">
      <c r="A134" s="167"/>
      <c r="B134" s="111"/>
      <c r="C134" s="111"/>
      <c r="D134" s="111"/>
      <c r="E134" s="111"/>
      <c r="F134" s="111"/>
      <c r="G134" s="111"/>
      <c r="H134" s="148"/>
      <c r="I134" s="148"/>
      <c r="J134" s="148"/>
      <c r="K134" s="148"/>
      <c r="L134" s="148"/>
      <c r="M134" s="111"/>
      <c r="N134" s="148"/>
      <c r="O134" s="148"/>
      <c r="P134" s="148"/>
      <c r="Q134" s="148"/>
      <c r="R134" s="148"/>
      <c r="S134" s="139"/>
      <c r="T134" s="139"/>
      <c r="U134" s="142"/>
      <c r="V134" s="141"/>
      <c r="X134" s="141"/>
      <c r="Y134" s="141"/>
    </row>
    <row r="135" spans="1:25" x14ac:dyDescent="0.2">
      <c r="A135" s="167"/>
      <c r="B135" s="111"/>
      <c r="C135" s="111"/>
      <c r="E135" s="111"/>
      <c r="F135" s="111"/>
      <c r="G135" s="111"/>
      <c r="H135" s="148"/>
      <c r="I135" s="148"/>
      <c r="J135" s="148"/>
      <c r="K135" s="148"/>
      <c r="L135" s="148"/>
      <c r="M135" s="111"/>
      <c r="N135" s="148"/>
      <c r="O135" s="148"/>
      <c r="P135" s="148"/>
      <c r="Q135" s="148"/>
      <c r="R135" s="148"/>
      <c r="S135" s="139"/>
      <c r="T135" s="139"/>
      <c r="U135" s="142"/>
      <c r="V135" s="141"/>
      <c r="X135" s="141"/>
      <c r="Y135" s="141"/>
    </row>
    <row r="136" spans="1:25" x14ac:dyDescent="0.2">
      <c r="A136" s="167"/>
      <c r="H136" s="138"/>
      <c r="I136" s="138"/>
      <c r="J136" s="138"/>
      <c r="K136" s="138"/>
      <c r="L136" s="138"/>
      <c r="M136" s="140"/>
      <c r="N136" s="141"/>
      <c r="O136" s="141"/>
      <c r="P136" s="141"/>
      <c r="Q136" s="141"/>
      <c r="R136" s="141"/>
      <c r="S136" s="139"/>
      <c r="T136" s="139"/>
      <c r="U136" s="142"/>
      <c r="V136" s="141"/>
      <c r="X136" s="141"/>
      <c r="Y136" s="141"/>
    </row>
    <row r="137" spans="1:25" x14ac:dyDescent="0.2">
      <c r="A137" s="167"/>
      <c r="D137" s="150"/>
      <c r="E137" s="150"/>
      <c r="F137" s="150"/>
      <c r="G137" s="150"/>
      <c r="H137" s="150"/>
      <c r="I137" s="150"/>
      <c r="J137" s="150"/>
      <c r="K137" s="150"/>
      <c r="L137" s="150"/>
      <c r="M137" s="151"/>
      <c r="N137" s="152"/>
      <c r="O137" s="152"/>
      <c r="P137" s="152"/>
      <c r="Q137" s="152"/>
      <c r="R137" s="152"/>
      <c r="S137" s="139"/>
      <c r="T137" s="139"/>
      <c r="U137" s="142"/>
      <c r="V137" s="141"/>
      <c r="X137" s="141"/>
      <c r="Y137" s="141"/>
    </row>
    <row r="138" spans="1:25" x14ac:dyDescent="0.2">
      <c r="A138" s="169"/>
      <c r="U138" s="142"/>
      <c r="V138" s="141"/>
      <c r="X138" s="141"/>
      <c r="Y138" s="141"/>
    </row>
    <row r="139" spans="1:25" x14ac:dyDescent="0.2">
      <c r="A139" s="167"/>
      <c r="H139" s="138"/>
      <c r="I139" s="138"/>
      <c r="J139" s="138"/>
      <c r="K139" s="138"/>
      <c r="L139" s="138"/>
      <c r="M139" s="155"/>
      <c r="N139" s="139"/>
      <c r="O139" s="139"/>
      <c r="P139" s="139"/>
      <c r="Q139" s="139"/>
      <c r="R139" s="139"/>
      <c r="S139" s="139"/>
      <c r="T139" s="141"/>
      <c r="U139" s="142"/>
      <c r="V139" s="141"/>
      <c r="X139" s="141"/>
      <c r="Y139" s="141"/>
    </row>
    <row r="140" spans="1:25" x14ac:dyDescent="0.2">
      <c r="A140" s="167"/>
      <c r="H140" s="138"/>
      <c r="I140" s="138"/>
      <c r="J140" s="138"/>
      <c r="K140" s="138"/>
      <c r="L140" s="138"/>
      <c r="S140" s="139"/>
      <c r="T140" s="139"/>
      <c r="U140" s="142"/>
      <c r="V140" s="141"/>
      <c r="X140" s="141"/>
      <c r="Y140" s="141"/>
    </row>
    <row r="141" spans="1:25" x14ac:dyDescent="0.2">
      <c r="A141" s="167"/>
      <c r="B141" s="111"/>
      <c r="C141" s="111"/>
      <c r="D141" s="111"/>
      <c r="E141" s="111"/>
      <c r="F141" s="111"/>
      <c r="G141" s="111"/>
      <c r="H141" s="148"/>
      <c r="I141" s="148"/>
      <c r="J141" s="148"/>
      <c r="K141" s="148"/>
      <c r="L141" s="148"/>
      <c r="M141" s="111"/>
      <c r="N141" s="111"/>
      <c r="O141" s="111"/>
      <c r="P141" s="111"/>
      <c r="Q141" s="111"/>
      <c r="R141" s="111"/>
      <c r="S141" s="139"/>
      <c r="T141" s="139"/>
      <c r="U141" s="142"/>
      <c r="V141" s="141"/>
      <c r="X141" s="141"/>
      <c r="Y141" s="141"/>
    </row>
    <row r="142" spans="1:25" x14ac:dyDescent="0.2">
      <c r="A142" s="167"/>
      <c r="B142" s="111"/>
      <c r="C142" s="111"/>
      <c r="D142" s="111"/>
      <c r="E142" s="111"/>
      <c r="F142" s="111"/>
      <c r="G142" s="111"/>
      <c r="H142" s="148"/>
      <c r="I142" s="148"/>
      <c r="J142" s="148"/>
      <c r="K142" s="148"/>
      <c r="L142" s="148"/>
      <c r="M142" s="111"/>
      <c r="N142" s="111"/>
      <c r="O142" s="111"/>
      <c r="P142" s="111"/>
      <c r="Q142" s="111"/>
      <c r="R142" s="111"/>
      <c r="S142" s="139"/>
      <c r="T142" s="139"/>
      <c r="U142" s="142"/>
      <c r="V142" s="141"/>
      <c r="X142" s="141"/>
      <c r="Y142" s="141"/>
    </row>
    <row r="143" spans="1:25" x14ac:dyDescent="0.2">
      <c r="A143" s="167"/>
      <c r="H143" s="138"/>
      <c r="I143" s="138"/>
      <c r="J143" s="138"/>
      <c r="K143" s="138"/>
      <c r="L143" s="138"/>
      <c r="M143" s="140"/>
      <c r="N143" s="140"/>
      <c r="O143" s="140"/>
      <c r="P143" s="140"/>
      <c r="Q143" s="140"/>
      <c r="R143" s="140"/>
      <c r="S143" s="139"/>
      <c r="T143" s="139"/>
      <c r="U143" s="142"/>
      <c r="V143" s="141"/>
      <c r="X143" s="141"/>
      <c r="Y143" s="141"/>
    </row>
    <row r="144" spans="1:25" x14ac:dyDescent="0.2">
      <c r="A144" s="167"/>
      <c r="H144" s="138"/>
      <c r="I144" s="138"/>
      <c r="J144" s="138"/>
      <c r="K144" s="138"/>
      <c r="L144" s="138"/>
      <c r="S144" s="139"/>
      <c r="T144" s="139"/>
      <c r="U144" s="142"/>
      <c r="V144" s="141"/>
      <c r="X144" s="141"/>
      <c r="Y144" s="141"/>
    </row>
    <row r="145" spans="1:25" x14ac:dyDescent="0.2">
      <c r="A145" s="167"/>
      <c r="H145" s="138"/>
      <c r="I145" s="138"/>
      <c r="J145" s="138"/>
      <c r="K145" s="138"/>
      <c r="L145" s="138"/>
      <c r="S145" s="139"/>
      <c r="T145" s="139"/>
      <c r="U145" s="142"/>
      <c r="V145" s="141"/>
      <c r="X145" s="141"/>
      <c r="Y145" s="141"/>
    </row>
    <row r="146" spans="1:25" x14ac:dyDescent="0.2">
      <c r="A146" s="167"/>
      <c r="H146" s="138"/>
      <c r="I146" s="138"/>
      <c r="J146" s="138"/>
      <c r="K146" s="138"/>
      <c r="L146" s="138"/>
      <c r="S146" s="139"/>
      <c r="T146" s="139"/>
      <c r="U146" s="142"/>
      <c r="V146" s="141"/>
      <c r="X146" s="141"/>
      <c r="Y146" s="141"/>
    </row>
    <row r="147" spans="1:25" x14ac:dyDescent="0.2">
      <c r="A147" s="167"/>
      <c r="B147" s="111"/>
      <c r="C147" s="111"/>
      <c r="D147" s="111"/>
      <c r="E147" s="111"/>
      <c r="F147" s="111"/>
      <c r="G147" s="111"/>
      <c r="H147" s="148"/>
      <c r="I147" s="148"/>
      <c r="J147" s="148"/>
      <c r="K147" s="148"/>
      <c r="L147" s="148"/>
      <c r="M147" s="111"/>
      <c r="N147" s="148"/>
      <c r="O147" s="148"/>
      <c r="P147" s="148"/>
      <c r="Q147" s="148"/>
      <c r="R147" s="148"/>
      <c r="S147" s="139"/>
      <c r="T147" s="139"/>
      <c r="U147" s="142"/>
      <c r="V147" s="141"/>
      <c r="X147" s="141"/>
      <c r="Y147" s="141"/>
    </row>
    <row r="148" spans="1:25" x14ac:dyDescent="0.2">
      <c r="A148" s="167"/>
      <c r="B148" s="111"/>
      <c r="C148" s="111"/>
      <c r="D148" s="111"/>
      <c r="E148" s="111"/>
      <c r="F148" s="111"/>
      <c r="G148" s="111"/>
      <c r="H148" s="148"/>
      <c r="I148" s="148"/>
      <c r="J148" s="148"/>
      <c r="K148" s="148"/>
      <c r="L148" s="148"/>
      <c r="M148" s="111"/>
      <c r="N148" s="148"/>
      <c r="O148" s="148"/>
      <c r="P148" s="148"/>
      <c r="Q148" s="148"/>
      <c r="R148" s="148"/>
      <c r="S148" s="139"/>
      <c r="T148" s="139"/>
      <c r="U148" s="142"/>
      <c r="V148" s="141"/>
      <c r="X148" s="141"/>
      <c r="Y148" s="141"/>
    </row>
    <row r="149" spans="1:25" x14ac:dyDescent="0.2">
      <c r="A149" s="167"/>
      <c r="H149" s="138"/>
      <c r="I149" s="138"/>
      <c r="J149" s="138"/>
      <c r="K149" s="138"/>
      <c r="L149" s="138"/>
      <c r="M149" s="140"/>
      <c r="N149" s="142"/>
      <c r="O149" s="142"/>
      <c r="P149" s="142"/>
      <c r="Q149" s="142"/>
      <c r="R149" s="142"/>
      <c r="S149" s="139"/>
      <c r="T149" s="139"/>
      <c r="U149" s="142"/>
      <c r="V149" s="141"/>
      <c r="X149" s="141"/>
      <c r="Y149" s="141"/>
    </row>
    <row r="150" spans="1:25" x14ac:dyDescent="0.2">
      <c r="A150" s="167"/>
      <c r="H150" s="138"/>
      <c r="I150" s="138"/>
      <c r="J150" s="138"/>
      <c r="K150" s="138"/>
      <c r="L150" s="138"/>
      <c r="S150" s="139"/>
      <c r="T150" s="139"/>
      <c r="U150" s="142"/>
      <c r="V150" s="141"/>
      <c r="X150" s="141"/>
      <c r="Y150" s="141"/>
    </row>
    <row r="151" spans="1:25" x14ac:dyDescent="0.2">
      <c r="A151" s="167"/>
      <c r="B151" s="111"/>
      <c r="C151" s="111"/>
      <c r="D151" s="111"/>
      <c r="E151" s="111"/>
      <c r="F151" s="111"/>
      <c r="G151" s="111"/>
      <c r="H151" s="148"/>
      <c r="I151" s="148"/>
      <c r="J151" s="148"/>
      <c r="K151" s="148"/>
      <c r="L151" s="148"/>
      <c r="M151" s="111"/>
      <c r="N151" s="148"/>
      <c r="O151" s="148"/>
      <c r="P151" s="148"/>
      <c r="Q151" s="148"/>
      <c r="R151" s="148"/>
      <c r="S151" s="139"/>
      <c r="T151" s="139"/>
      <c r="U151" s="142"/>
      <c r="V151" s="141"/>
      <c r="X151" s="141"/>
      <c r="Y151" s="141"/>
    </row>
    <row r="152" spans="1:25" x14ac:dyDescent="0.2">
      <c r="A152" s="167"/>
      <c r="B152" s="111"/>
      <c r="C152" s="111"/>
      <c r="E152" s="111"/>
      <c r="F152" s="111"/>
      <c r="G152" s="111"/>
      <c r="H152" s="148"/>
      <c r="I152" s="148"/>
      <c r="J152" s="148"/>
      <c r="K152" s="148"/>
      <c r="L152" s="148"/>
      <c r="M152" s="111"/>
      <c r="N152" s="148"/>
      <c r="O152" s="148"/>
      <c r="P152" s="148"/>
      <c r="Q152" s="148"/>
      <c r="R152" s="148"/>
      <c r="S152" s="139"/>
      <c r="T152" s="139"/>
      <c r="U152" s="142"/>
      <c r="V152" s="141"/>
      <c r="X152" s="141"/>
      <c r="Y152" s="141"/>
    </row>
    <row r="153" spans="1:25" x14ac:dyDescent="0.2">
      <c r="A153" s="167"/>
      <c r="H153" s="138"/>
      <c r="I153" s="138"/>
      <c r="J153" s="138"/>
      <c r="K153" s="138"/>
      <c r="L153" s="138"/>
      <c r="M153" s="140"/>
      <c r="N153" s="141"/>
      <c r="O153" s="141"/>
      <c r="P153" s="141"/>
      <c r="Q153" s="141"/>
      <c r="R153" s="141"/>
      <c r="S153" s="139"/>
      <c r="T153" s="139"/>
      <c r="U153" s="142"/>
      <c r="V153" s="141"/>
      <c r="X153" s="141"/>
      <c r="Y153" s="141"/>
    </row>
    <row r="154" spans="1:25" x14ac:dyDescent="0.2">
      <c r="A154" s="167"/>
      <c r="D154" s="150"/>
      <c r="E154" s="150"/>
      <c r="F154" s="150"/>
      <c r="G154" s="150"/>
      <c r="H154" s="150"/>
      <c r="I154" s="150"/>
      <c r="J154" s="150"/>
      <c r="K154" s="150"/>
      <c r="L154" s="150"/>
      <c r="M154" s="151"/>
      <c r="N154" s="152"/>
      <c r="O154" s="152"/>
      <c r="P154" s="152"/>
      <c r="Q154" s="152"/>
      <c r="R154" s="152"/>
      <c r="S154" s="139"/>
      <c r="T154" s="139"/>
      <c r="U154" s="142"/>
      <c r="V154" s="141"/>
      <c r="X154" s="141"/>
      <c r="Y154" s="141"/>
    </row>
    <row r="155" spans="1:25" x14ac:dyDescent="0.2">
      <c r="A155" s="167"/>
      <c r="H155" s="138"/>
      <c r="I155" s="138"/>
      <c r="J155" s="138"/>
      <c r="K155" s="138"/>
      <c r="L155" s="138"/>
      <c r="M155" s="140"/>
      <c r="N155" s="141"/>
      <c r="O155" s="141"/>
      <c r="P155" s="141"/>
      <c r="Q155" s="141"/>
      <c r="R155" s="141"/>
      <c r="S155" s="139"/>
      <c r="T155" s="139"/>
      <c r="U155" s="142"/>
      <c r="V155" s="141"/>
      <c r="X155" s="141"/>
      <c r="Y155" s="141"/>
    </row>
    <row r="156" spans="1:25" x14ac:dyDescent="0.2">
      <c r="A156" s="167"/>
      <c r="H156" s="138"/>
      <c r="I156" s="138"/>
      <c r="J156" s="138"/>
      <c r="K156" s="138"/>
      <c r="L156" s="138"/>
      <c r="M156" s="155"/>
      <c r="N156" s="139"/>
      <c r="O156" s="139"/>
      <c r="P156" s="139"/>
      <c r="Q156" s="139"/>
      <c r="R156" s="139"/>
      <c r="S156" s="139"/>
      <c r="T156" s="141"/>
      <c r="U156" s="142"/>
      <c r="V156" s="141"/>
      <c r="X156" s="141"/>
      <c r="Y156" s="141"/>
    </row>
    <row r="157" spans="1:25" x14ac:dyDescent="0.2">
      <c r="A157" s="167"/>
      <c r="H157" s="138"/>
      <c r="I157" s="138"/>
      <c r="J157" s="138"/>
      <c r="K157" s="138"/>
      <c r="L157" s="138"/>
      <c r="S157" s="139"/>
      <c r="T157" s="139"/>
      <c r="U157" s="142"/>
      <c r="V157" s="141"/>
      <c r="X157" s="141"/>
      <c r="Y157" s="141"/>
    </row>
    <row r="158" spans="1:25" x14ac:dyDescent="0.2">
      <c r="A158" s="167"/>
      <c r="B158" s="111"/>
      <c r="C158" s="111"/>
      <c r="D158" s="111"/>
      <c r="E158" s="111"/>
      <c r="F158" s="111"/>
      <c r="G158" s="111"/>
      <c r="H158" s="148"/>
      <c r="I158" s="148"/>
      <c r="J158" s="148"/>
      <c r="K158" s="148"/>
      <c r="L158" s="148"/>
      <c r="M158" s="111"/>
      <c r="N158" s="111"/>
      <c r="O158" s="111"/>
      <c r="P158" s="111"/>
      <c r="Q158" s="111"/>
      <c r="R158" s="111"/>
      <c r="S158" s="139"/>
      <c r="T158" s="139"/>
      <c r="U158" s="142"/>
      <c r="V158" s="141"/>
      <c r="X158" s="141"/>
      <c r="Y158" s="141"/>
    </row>
    <row r="159" spans="1:25" x14ac:dyDescent="0.2">
      <c r="A159" s="167"/>
      <c r="B159" s="111"/>
      <c r="C159" s="111"/>
      <c r="D159" s="111"/>
      <c r="E159" s="111"/>
      <c r="F159" s="111"/>
      <c r="G159" s="111"/>
      <c r="H159" s="148"/>
      <c r="I159" s="148"/>
      <c r="J159" s="148"/>
      <c r="K159" s="148"/>
      <c r="L159" s="148"/>
      <c r="M159" s="111"/>
      <c r="N159" s="111"/>
      <c r="O159" s="111"/>
      <c r="P159" s="111"/>
      <c r="Q159" s="111"/>
      <c r="R159" s="111"/>
      <c r="S159" s="139"/>
      <c r="T159" s="139"/>
      <c r="U159" s="142"/>
      <c r="V159" s="141"/>
      <c r="X159" s="141"/>
      <c r="Y159" s="141"/>
    </row>
    <row r="160" spans="1:25" x14ac:dyDescent="0.2">
      <c r="A160" s="167"/>
      <c r="H160" s="138"/>
      <c r="I160" s="138"/>
      <c r="J160" s="138"/>
      <c r="K160" s="138"/>
      <c r="L160" s="138"/>
      <c r="M160" s="140"/>
      <c r="N160" s="140"/>
      <c r="O160" s="140"/>
      <c r="P160" s="140"/>
      <c r="Q160" s="140"/>
      <c r="R160" s="140"/>
      <c r="S160" s="139"/>
      <c r="T160" s="139"/>
      <c r="U160" s="142"/>
      <c r="V160" s="141"/>
      <c r="X160" s="141"/>
      <c r="Y160" s="141"/>
    </row>
    <row r="161" spans="1:25" x14ac:dyDescent="0.2">
      <c r="A161" s="167"/>
      <c r="H161" s="138"/>
      <c r="I161" s="138"/>
      <c r="J161" s="138"/>
      <c r="K161" s="138"/>
      <c r="L161" s="138"/>
      <c r="S161" s="139"/>
      <c r="T161" s="139"/>
      <c r="U161" s="142"/>
      <c r="V161" s="141"/>
      <c r="X161" s="141"/>
      <c r="Y161" s="141"/>
    </row>
    <row r="162" spans="1:25" x14ac:dyDescent="0.2">
      <c r="A162" s="167"/>
      <c r="H162" s="138"/>
      <c r="I162" s="138"/>
      <c r="J162" s="138"/>
      <c r="K162" s="138"/>
      <c r="L162" s="138"/>
      <c r="S162" s="139"/>
      <c r="T162" s="139"/>
      <c r="U162" s="142"/>
      <c r="V162" s="141"/>
      <c r="X162" s="141"/>
      <c r="Y162" s="141"/>
    </row>
    <row r="163" spans="1:25" x14ac:dyDescent="0.2">
      <c r="A163" s="167"/>
      <c r="H163" s="138"/>
      <c r="I163" s="138"/>
      <c r="J163" s="138"/>
      <c r="K163" s="138"/>
      <c r="L163" s="138"/>
      <c r="S163" s="139"/>
      <c r="T163" s="139"/>
      <c r="U163" s="142"/>
      <c r="V163" s="141"/>
      <c r="X163" s="141"/>
      <c r="Y163" s="141"/>
    </row>
    <row r="164" spans="1:25" x14ac:dyDescent="0.2">
      <c r="A164" s="167"/>
      <c r="B164" s="111"/>
      <c r="C164" s="111"/>
      <c r="D164" s="111"/>
      <c r="E164" s="111"/>
      <c r="F164" s="111"/>
      <c r="G164" s="111"/>
      <c r="H164" s="148"/>
      <c r="I164" s="148"/>
      <c r="J164" s="148"/>
      <c r="K164" s="148"/>
      <c r="L164" s="148"/>
      <c r="M164" s="111"/>
      <c r="N164" s="148"/>
      <c r="O164" s="148"/>
      <c r="P164" s="148"/>
      <c r="Q164" s="148"/>
      <c r="R164" s="148"/>
      <c r="S164" s="139"/>
      <c r="T164" s="139"/>
      <c r="U164" s="142"/>
      <c r="V164" s="141"/>
      <c r="X164" s="141"/>
      <c r="Y164" s="141"/>
    </row>
    <row r="165" spans="1:25" x14ac:dyDescent="0.2">
      <c r="A165" s="167"/>
      <c r="B165" s="111"/>
      <c r="C165" s="111"/>
      <c r="D165" s="111"/>
      <c r="E165" s="111"/>
      <c r="F165" s="111"/>
      <c r="G165" s="111"/>
      <c r="H165" s="148"/>
      <c r="I165" s="148"/>
      <c r="J165" s="148"/>
      <c r="K165" s="148"/>
      <c r="L165" s="148"/>
      <c r="M165" s="111"/>
      <c r="N165" s="148"/>
      <c r="O165" s="148"/>
      <c r="P165" s="148"/>
      <c r="Q165" s="148"/>
      <c r="R165" s="148"/>
      <c r="S165" s="139"/>
      <c r="T165" s="139"/>
      <c r="U165" s="142"/>
      <c r="V165" s="141"/>
      <c r="X165" s="141"/>
      <c r="Y165" s="141"/>
    </row>
    <row r="166" spans="1:25" x14ac:dyDescent="0.2">
      <c r="A166" s="167"/>
      <c r="H166" s="138"/>
      <c r="I166" s="138"/>
      <c r="J166" s="138"/>
      <c r="K166" s="138"/>
      <c r="L166" s="138"/>
      <c r="M166" s="140"/>
      <c r="N166" s="142"/>
      <c r="O166" s="142"/>
      <c r="P166" s="142"/>
      <c r="Q166" s="142"/>
      <c r="R166" s="142"/>
      <c r="S166" s="139"/>
      <c r="T166" s="139"/>
      <c r="U166" s="142"/>
      <c r="V166" s="141"/>
      <c r="X166" s="141"/>
      <c r="Y166" s="141"/>
    </row>
    <row r="167" spans="1:25" x14ac:dyDescent="0.2">
      <c r="A167" s="167"/>
      <c r="H167" s="138"/>
      <c r="I167" s="138"/>
      <c r="J167" s="138"/>
      <c r="K167" s="138"/>
      <c r="L167" s="138"/>
      <c r="S167" s="139"/>
      <c r="T167" s="139"/>
      <c r="U167" s="142"/>
      <c r="V167" s="141"/>
      <c r="X167" s="141"/>
      <c r="Y167" s="141"/>
    </row>
    <row r="168" spans="1:25" x14ac:dyDescent="0.2">
      <c r="A168" s="167"/>
      <c r="B168" s="111"/>
      <c r="C168" s="111"/>
      <c r="D168" s="111"/>
      <c r="E168" s="111"/>
      <c r="F168" s="111"/>
      <c r="G168" s="111"/>
      <c r="H168" s="148"/>
      <c r="I168" s="148"/>
      <c r="J168" s="148"/>
      <c r="K168" s="148"/>
      <c r="L168" s="148"/>
      <c r="M168" s="111"/>
      <c r="N168" s="148"/>
      <c r="O168" s="148"/>
      <c r="P168" s="148"/>
      <c r="Q168" s="148"/>
      <c r="R168" s="148"/>
      <c r="S168" s="139"/>
      <c r="T168" s="139"/>
      <c r="U168" s="142"/>
      <c r="V168" s="141"/>
      <c r="X168" s="141"/>
      <c r="Y168" s="141"/>
    </row>
    <row r="169" spans="1:25" x14ac:dyDescent="0.2">
      <c r="A169" s="167"/>
      <c r="B169" s="111"/>
      <c r="C169" s="111"/>
      <c r="E169" s="111"/>
      <c r="F169" s="111"/>
      <c r="G169" s="111"/>
      <c r="H169" s="148"/>
      <c r="I169" s="148"/>
      <c r="J169" s="148"/>
      <c r="K169" s="148"/>
      <c r="L169" s="148"/>
      <c r="M169" s="111"/>
      <c r="N169" s="148"/>
      <c r="O169" s="148"/>
      <c r="P169" s="148"/>
      <c r="Q169" s="148"/>
      <c r="R169" s="148"/>
      <c r="S169" s="139"/>
      <c r="T169" s="139"/>
      <c r="U169" s="142"/>
      <c r="V169" s="141"/>
      <c r="X169" s="141"/>
      <c r="Y169" s="141"/>
    </row>
    <row r="170" spans="1:25" x14ac:dyDescent="0.2">
      <c r="A170" s="167"/>
      <c r="H170" s="138"/>
      <c r="I170" s="138"/>
      <c r="J170" s="138"/>
      <c r="K170" s="138"/>
      <c r="L170" s="138"/>
      <c r="M170" s="140"/>
      <c r="N170" s="141"/>
      <c r="O170" s="141"/>
      <c r="P170" s="141"/>
      <c r="Q170" s="141"/>
      <c r="R170" s="141"/>
      <c r="S170" s="139"/>
      <c r="T170" s="139"/>
      <c r="U170" s="142"/>
      <c r="V170" s="141"/>
      <c r="X170" s="141"/>
      <c r="Y170" s="141"/>
    </row>
    <row r="171" spans="1:25" x14ac:dyDescent="0.2">
      <c r="A171" s="167"/>
      <c r="D171" s="150"/>
      <c r="E171" s="150"/>
      <c r="F171" s="150"/>
      <c r="G171" s="150"/>
      <c r="H171" s="150"/>
      <c r="I171" s="150"/>
      <c r="J171" s="150"/>
      <c r="K171" s="150"/>
      <c r="L171" s="150"/>
      <c r="M171" s="151"/>
      <c r="N171" s="152"/>
      <c r="O171" s="152"/>
      <c r="P171" s="152"/>
      <c r="Q171" s="152"/>
      <c r="R171" s="152"/>
      <c r="S171" s="139"/>
      <c r="T171" s="139"/>
      <c r="U171" s="142"/>
      <c r="V171" s="141"/>
      <c r="X171" s="141"/>
      <c r="Y171" s="141"/>
    </row>
    <row r="172" spans="1:25" x14ac:dyDescent="0.2">
      <c r="A172" s="170"/>
      <c r="D172" s="150"/>
      <c r="E172" s="150"/>
      <c r="F172" s="150"/>
      <c r="G172" s="150"/>
      <c r="H172" s="150"/>
      <c r="I172" s="150"/>
      <c r="J172" s="150"/>
      <c r="K172" s="150"/>
      <c r="L172" s="150"/>
      <c r="M172" s="151"/>
      <c r="N172" s="152"/>
      <c r="O172" s="152"/>
      <c r="P172" s="152"/>
      <c r="Q172" s="152"/>
      <c r="R172" s="152"/>
      <c r="S172" s="139"/>
      <c r="T172" s="139"/>
      <c r="U172" s="142"/>
      <c r="V172" s="141"/>
      <c r="X172" s="141"/>
      <c r="Y172" s="141"/>
    </row>
    <row r="173" spans="1:25" x14ac:dyDescent="0.2">
      <c r="A173" s="170"/>
      <c r="D173" s="150"/>
      <c r="E173" s="150"/>
      <c r="F173" s="150"/>
      <c r="G173" s="150"/>
      <c r="H173" s="150"/>
      <c r="I173" s="150"/>
      <c r="J173" s="150"/>
      <c r="K173" s="150"/>
      <c r="L173" s="150"/>
      <c r="M173" s="151"/>
      <c r="N173" s="152"/>
      <c r="O173" s="152"/>
      <c r="P173" s="152"/>
      <c r="Q173" s="152"/>
      <c r="R173" s="152"/>
      <c r="S173" s="139"/>
      <c r="T173" s="139"/>
      <c r="U173" s="142"/>
      <c r="V173" s="141"/>
      <c r="X173" s="141"/>
      <c r="Y173" s="141"/>
    </row>
    <row r="174" spans="1:25" x14ac:dyDescent="0.2">
      <c r="A174" s="170"/>
      <c r="D174" s="150"/>
      <c r="E174" s="150"/>
      <c r="F174" s="150"/>
      <c r="G174" s="150"/>
      <c r="H174" s="150"/>
      <c r="I174" s="150"/>
      <c r="J174" s="150"/>
      <c r="K174" s="150"/>
      <c r="L174" s="150"/>
      <c r="M174" s="151"/>
      <c r="N174" s="152"/>
      <c r="O174" s="152"/>
      <c r="P174" s="152"/>
      <c r="Q174" s="152"/>
      <c r="R174" s="152"/>
      <c r="S174" s="139"/>
      <c r="T174" s="139"/>
      <c r="U174" s="142"/>
      <c r="V174" s="141"/>
      <c r="X174" s="141"/>
      <c r="Y174" s="141"/>
    </row>
    <row r="175" spans="1:25" x14ac:dyDescent="0.2">
      <c r="A175" s="170"/>
      <c r="D175" s="150"/>
      <c r="E175" s="150"/>
      <c r="F175" s="150"/>
      <c r="G175" s="150"/>
      <c r="H175" s="150"/>
      <c r="I175" s="150"/>
      <c r="J175" s="150"/>
      <c r="K175" s="150"/>
      <c r="L175" s="150"/>
      <c r="M175" s="151"/>
      <c r="N175" s="152"/>
      <c r="O175" s="152"/>
      <c r="P175" s="152"/>
      <c r="Q175" s="152"/>
      <c r="R175" s="152"/>
      <c r="S175" s="139"/>
      <c r="T175" s="139"/>
      <c r="U175" s="142"/>
      <c r="V175" s="141"/>
      <c r="X175" s="141"/>
      <c r="Y175" s="141"/>
    </row>
    <row r="176" spans="1:25" x14ac:dyDescent="0.2">
      <c r="A176" s="170"/>
      <c r="H176" s="138"/>
      <c r="I176" s="138"/>
      <c r="J176" s="138"/>
      <c r="K176" s="138"/>
      <c r="L176" s="138"/>
      <c r="M176" s="140"/>
      <c r="N176" s="141"/>
      <c r="O176" s="141"/>
      <c r="P176" s="141"/>
      <c r="Q176" s="141"/>
      <c r="R176" s="141"/>
      <c r="S176" s="139"/>
      <c r="T176" s="139"/>
      <c r="U176" s="142"/>
      <c r="V176" s="141"/>
      <c r="X176" s="141"/>
      <c r="Y176" s="141"/>
    </row>
    <row r="177" spans="1:25" x14ac:dyDescent="0.2">
      <c r="A177" s="169"/>
      <c r="H177" s="138"/>
      <c r="I177" s="138"/>
      <c r="J177" s="138"/>
      <c r="K177" s="138"/>
      <c r="L177" s="138"/>
      <c r="M177" s="155"/>
      <c r="N177" s="139"/>
      <c r="O177" s="139"/>
      <c r="P177" s="139"/>
      <c r="Q177" s="139"/>
      <c r="R177" s="139"/>
      <c r="S177" s="139"/>
      <c r="T177" s="141"/>
      <c r="U177" s="141"/>
      <c r="V177" s="141"/>
      <c r="X177" s="141"/>
      <c r="Y177" s="141"/>
    </row>
  </sheetData>
  <mergeCells count="230">
    <mergeCell ref="G5:G6"/>
    <mergeCell ref="H5:H6"/>
    <mergeCell ref="I5:I6"/>
    <mergeCell ref="J5:J6"/>
    <mergeCell ref="A7:A8"/>
    <mergeCell ref="B7:B8"/>
    <mergeCell ref="C7:C8"/>
    <mergeCell ref="D7:D8"/>
    <mergeCell ref="E7:E8"/>
    <mergeCell ref="F7:F8"/>
    <mergeCell ref="A5:A6"/>
    <mergeCell ref="B5:B6"/>
    <mergeCell ref="C5:C6"/>
    <mergeCell ref="D5:D6"/>
    <mergeCell ref="E5:E6"/>
    <mergeCell ref="F5:F6"/>
    <mergeCell ref="G7:G8"/>
    <mergeCell ref="H7:H8"/>
    <mergeCell ref="I7:I8"/>
    <mergeCell ref="J7:J8"/>
    <mergeCell ref="J9:J12"/>
    <mergeCell ref="A13:A16"/>
    <mergeCell ref="B13:B16"/>
    <mergeCell ref="C13:C16"/>
    <mergeCell ref="D13:D16"/>
    <mergeCell ref="E13:E16"/>
    <mergeCell ref="F13:F16"/>
    <mergeCell ref="G13:G16"/>
    <mergeCell ref="H13:H16"/>
    <mergeCell ref="I13:I16"/>
    <mergeCell ref="J13:J16"/>
    <mergeCell ref="A9:A12"/>
    <mergeCell ref="B9:B12"/>
    <mergeCell ref="C9:C12"/>
    <mergeCell ref="D9:D12"/>
    <mergeCell ref="E9:E12"/>
    <mergeCell ref="F9:F12"/>
    <mergeCell ref="G9:G12"/>
    <mergeCell ref="H9:H12"/>
    <mergeCell ref="I9:I12"/>
    <mergeCell ref="J17:J20"/>
    <mergeCell ref="A21:A24"/>
    <mergeCell ref="B21:B24"/>
    <mergeCell ref="C21:C24"/>
    <mergeCell ref="D21:D24"/>
    <mergeCell ref="E21:E24"/>
    <mergeCell ref="F21:F24"/>
    <mergeCell ref="G21:G24"/>
    <mergeCell ref="H21:H24"/>
    <mergeCell ref="I21:I24"/>
    <mergeCell ref="J21:J24"/>
    <mergeCell ref="A17:A20"/>
    <mergeCell ref="B17:B20"/>
    <mergeCell ref="C17:C20"/>
    <mergeCell ref="D17:D20"/>
    <mergeCell ref="E17:E20"/>
    <mergeCell ref="F17:F20"/>
    <mergeCell ref="G17:G20"/>
    <mergeCell ref="H17:H20"/>
    <mergeCell ref="I17:I20"/>
    <mergeCell ref="J25:J28"/>
    <mergeCell ref="A29:A32"/>
    <mergeCell ref="B29:B32"/>
    <mergeCell ref="C29:C32"/>
    <mergeCell ref="D29:D32"/>
    <mergeCell ref="E29:E32"/>
    <mergeCell ref="F29:F32"/>
    <mergeCell ref="G29:G32"/>
    <mergeCell ref="H29:H32"/>
    <mergeCell ref="I29:I32"/>
    <mergeCell ref="J29:J32"/>
    <mergeCell ref="A25:A28"/>
    <mergeCell ref="B25:B28"/>
    <mergeCell ref="C25:C28"/>
    <mergeCell ref="D25:D28"/>
    <mergeCell ref="E25:E28"/>
    <mergeCell ref="F25:F28"/>
    <mergeCell ref="G25:G28"/>
    <mergeCell ref="H25:H28"/>
    <mergeCell ref="I25:I28"/>
    <mergeCell ref="J33:J36"/>
    <mergeCell ref="A37:A40"/>
    <mergeCell ref="B37:B40"/>
    <mergeCell ref="C37:C40"/>
    <mergeCell ref="D37:D40"/>
    <mergeCell ref="E37:E40"/>
    <mergeCell ref="F37:F40"/>
    <mergeCell ref="G37:G40"/>
    <mergeCell ref="H37:H40"/>
    <mergeCell ref="I37:I40"/>
    <mergeCell ref="J37:J40"/>
    <mergeCell ref="A33:A36"/>
    <mergeCell ref="B33:B36"/>
    <mergeCell ref="C33:C36"/>
    <mergeCell ref="D33:D36"/>
    <mergeCell ref="E33:E36"/>
    <mergeCell ref="F33:F36"/>
    <mergeCell ref="G33:G36"/>
    <mergeCell ref="H33:H36"/>
    <mergeCell ref="I33:I36"/>
    <mergeCell ref="J41:J44"/>
    <mergeCell ref="A45:A48"/>
    <mergeCell ref="B45:B48"/>
    <mergeCell ref="C45:C48"/>
    <mergeCell ref="D45:D48"/>
    <mergeCell ref="E45:E48"/>
    <mergeCell ref="F45:F48"/>
    <mergeCell ref="G45:G48"/>
    <mergeCell ref="H45:H48"/>
    <mergeCell ref="I45:I48"/>
    <mergeCell ref="J45:J48"/>
    <mergeCell ref="A41:A44"/>
    <mergeCell ref="B41:B44"/>
    <mergeCell ref="C41:C44"/>
    <mergeCell ref="D41:D44"/>
    <mergeCell ref="E41:E44"/>
    <mergeCell ref="F41:F44"/>
    <mergeCell ref="G41:G44"/>
    <mergeCell ref="H41:H44"/>
    <mergeCell ref="I41:I44"/>
    <mergeCell ref="J49:J52"/>
    <mergeCell ref="A59:A62"/>
    <mergeCell ref="B59:B62"/>
    <mergeCell ref="C59:C62"/>
    <mergeCell ref="D59:D62"/>
    <mergeCell ref="E59:E62"/>
    <mergeCell ref="F59:F62"/>
    <mergeCell ref="G59:G62"/>
    <mergeCell ref="H59:H62"/>
    <mergeCell ref="I59:I62"/>
    <mergeCell ref="J59:J62"/>
    <mergeCell ref="A49:A52"/>
    <mergeCell ref="B49:B52"/>
    <mergeCell ref="C49:C52"/>
    <mergeCell ref="D49:D52"/>
    <mergeCell ref="E49:E52"/>
    <mergeCell ref="F49:F52"/>
    <mergeCell ref="G49:G52"/>
    <mergeCell ref="H49:H52"/>
    <mergeCell ref="I49:I52"/>
    <mergeCell ref="J63:J68"/>
    <mergeCell ref="A69:A72"/>
    <mergeCell ref="B69:B72"/>
    <mergeCell ref="C69:C72"/>
    <mergeCell ref="D69:D72"/>
    <mergeCell ref="E69:E72"/>
    <mergeCell ref="F69:F72"/>
    <mergeCell ref="G69:G72"/>
    <mergeCell ref="H69:H72"/>
    <mergeCell ref="I69:I72"/>
    <mergeCell ref="J69:J72"/>
    <mergeCell ref="A63:A68"/>
    <mergeCell ref="B63:B68"/>
    <mergeCell ref="C63:C68"/>
    <mergeCell ref="D63:D68"/>
    <mergeCell ref="E63:E68"/>
    <mergeCell ref="F63:F68"/>
    <mergeCell ref="G63:G68"/>
    <mergeCell ref="H63:H68"/>
    <mergeCell ref="I63:I68"/>
    <mergeCell ref="H81:H84"/>
    <mergeCell ref="I81:I84"/>
    <mergeCell ref="J73:J76"/>
    <mergeCell ref="A77:A80"/>
    <mergeCell ref="B77:B80"/>
    <mergeCell ref="C77:C80"/>
    <mergeCell ref="D77:D80"/>
    <mergeCell ref="E77:E80"/>
    <mergeCell ref="F77:F80"/>
    <mergeCell ref="G77:G80"/>
    <mergeCell ref="H77:H80"/>
    <mergeCell ref="I77:I80"/>
    <mergeCell ref="J77:J80"/>
    <mergeCell ref="A73:A76"/>
    <mergeCell ref="B73:B76"/>
    <mergeCell ref="C73:C76"/>
    <mergeCell ref="D73:D76"/>
    <mergeCell ref="E73:E76"/>
    <mergeCell ref="F73:F76"/>
    <mergeCell ref="G73:G76"/>
    <mergeCell ref="H73:H76"/>
    <mergeCell ref="I73:I76"/>
    <mergeCell ref="D89:D94"/>
    <mergeCell ref="E89:E94"/>
    <mergeCell ref="F89:F94"/>
    <mergeCell ref="G89:G94"/>
    <mergeCell ref="H89:H94"/>
    <mergeCell ref="I89:I94"/>
    <mergeCell ref="J81:J84"/>
    <mergeCell ref="A85:A88"/>
    <mergeCell ref="B85:B88"/>
    <mergeCell ref="C85:C88"/>
    <mergeCell ref="D85:D88"/>
    <mergeCell ref="E85:E88"/>
    <mergeCell ref="F85:F88"/>
    <mergeCell ref="G85:G88"/>
    <mergeCell ref="H85:H88"/>
    <mergeCell ref="I85:I88"/>
    <mergeCell ref="J85:J88"/>
    <mergeCell ref="A81:A84"/>
    <mergeCell ref="B81:B84"/>
    <mergeCell ref="C81:C84"/>
    <mergeCell ref="D81:D84"/>
    <mergeCell ref="E81:E84"/>
    <mergeCell ref="F81:F84"/>
    <mergeCell ref="G81:G84"/>
    <mergeCell ref="J89:J94"/>
    <mergeCell ref="A95:A98"/>
    <mergeCell ref="B95:B98"/>
    <mergeCell ref="C95:C98"/>
    <mergeCell ref="D95:D98"/>
    <mergeCell ref="E95:E98"/>
    <mergeCell ref="F95:F98"/>
    <mergeCell ref="G99:G102"/>
    <mergeCell ref="H99:H102"/>
    <mergeCell ref="I99:I102"/>
    <mergeCell ref="J99:J102"/>
    <mergeCell ref="G95:G98"/>
    <mergeCell ref="H95:H98"/>
    <mergeCell ref="I95:I98"/>
    <mergeCell ref="J95:J98"/>
    <mergeCell ref="A99:A102"/>
    <mergeCell ref="B99:B102"/>
    <mergeCell ref="C99:C102"/>
    <mergeCell ref="D99:D102"/>
    <mergeCell ref="E99:E102"/>
    <mergeCell ref="F99:F102"/>
    <mergeCell ref="A89:A94"/>
    <mergeCell ref="B89:B94"/>
    <mergeCell ref="C89:C94"/>
  </mergeCells>
  <pageMargins left="0.75" right="0.75" top="1" bottom="1" header="0" footer="0"/>
  <pageSetup paperSize="9" orientation="portrait" horizontalDpi="200" verticalDpi="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EB7C3-AE5C-4717-AE6F-04A0702E2D3D}">
  <sheetPr codeName="Sheet5"/>
  <dimension ref="A1:AF459"/>
  <sheetViews>
    <sheetView zoomScale="85" zoomScaleNormal="85" workbookViewId="0">
      <pane ySplit="4" topLeftCell="A5" activePane="bottomLeft" state="frozen"/>
      <selection pane="bottomLeft" activeCell="K7" sqref="K7"/>
    </sheetView>
  </sheetViews>
  <sheetFormatPr defaultColWidth="11.42578125" defaultRowHeight="12.75" x14ac:dyDescent="0.2"/>
  <cols>
    <col min="1" max="1" width="38.28515625" style="7" customWidth="1"/>
    <col min="2" max="2" width="12.7109375" style="120" bestFit="1" customWidth="1"/>
    <col min="3" max="4" width="9.42578125" style="120" bestFit="1" customWidth="1"/>
    <col min="5" max="6" width="11.28515625" style="120" customWidth="1"/>
    <col min="7" max="7" width="17.85546875" style="120" bestFit="1" customWidth="1"/>
    <col min="8" max="9" width="17.28515625" style="120" customWidth="1"/>
    <col min="10" max="10" width="15.5703125" style="120" bestFit="1" customWidth="1"/>
    <col min="11" max="11" width="10.28515625" style="189" bestFit="1" customWidth="1"/>
    <col min="12" max="12" width="10.5703125" style="120" bestFit="1" customWidth="1"/>
    <col min="13" max="13" width="13.28515625" style="120" bestFit="1" customWidth="1"/>
    <col min="14" max="14" width="17.7109375" style="120" customWidth="1"/>
    <col min="15" max="15" width="18.85546875" style="7" customWidth="1"/>
    <col min="16" max="256" width="11.42578125" style="7"/>
    <col min="257" max="257" width="38.28515625" style="7" customWidth="1"/>
    <col min="258" max="258" width="12.7109375" style="7" bestFit="1" customWidth="1"/>
    <col min="259" max="260" width="9.42578125" style="7" bestFit="1" customWidth="1"/>
    <col min="261" max="262" width="11.28515625" style="7" customWidth="1"/>
    <col min="263" max="263" width="17.85546875" style="7" bestFit="1" customWidth="1"/>
    <col min="264" max="265" width="17.28515625" style="7" customWidth="1"/>
    <col min="266" max="266" width="15.5703125" style="7" bestFit="1" customWidth="1"/>
    <col min="267" max="267" width="10.28515625" style="7" bestFit="1" customWidth="1"/>
    <col min="268" max="268" width="10.5703125" style="7" bestFit="1" customWidth="1"/>
    <col min="269" max="269" width="13.28515625" style="7" bestFit="1" customWidth="1"/>
    <col min="270" max="270" width="17.7109375" style="7" customWidth="1"/>
    <col min="271" max="271" width="18.85546875" style="7" customWidth="1"/>
    <col min="272" max="512" width="11.42578125" style="7"/>
    <col min="513" max="513" width="38.28515625" style="7" customWidth="1"/>
    <col min="514" max="514" width="12.7109375" style="7" bestFit="1" customWidth="1"/>
    <col min="515" max="516" width="9.42578125" style="7" bestFit="1" customWidth="1"/>
    <col min="517" max="518" width="11.28515625" style="7" customWidth="1"/>
    <col min="519" max="519" width="17.85546875" style="7" bestFit="1" customWidth="1"/>
    <col min="520" max="521" width="17.28515625" style="7" customWidth="1"/>
    <col min="522" max="522" width="15.5703125" style="7" bestFit="1" customWidth="1"/>
    <col min="523" max="523" width="10.28515625" style="7" bestFit="1" customWidth="1"/>
    <col min="524" max="524" width="10.5703125" style="7" bestFit="1" customWidth="1"/>
    <col min="525" max="525" width="13.28515625" style="7" bestFit="1" customWidth="1"/>
    <col min="526" max="526" width="17.7109375" style="7" customWidth="1"/>
    <col min="527" max="527" width="18.85546875" style="7" customWidth="1"/>
    <col min="528" max="768" width="11.42578125" style="7"/>
    <col min="769" max="769" width="38.28515625" style="7" customWidth="1"/>
    <col min="770" max="770" width="12.7109375" style="7" bestFit="1" customWidth="1"/>
    <col min="771" max="772" width="9.42578125" style="7" bestFit="1" customWidth="1"/>
    <col min="773" max="774" width="11.28515625" style="7" customWidth="1"/>
    <col min="775" max="775" width="17.85546875" style="7" bestFit="1" customWidth="1"/>
    <col min="776" max="777" width="17.28515625" style="7" customWidth="1"/>
    <col min="778" max="778" width="15.5703125" style="7" bestFit="1" customWidth="1"/>
    <col min="779" max="779" width="10.28515625" style="7" bestFit="1" customWidth="1"/>
    <col min="780" max="780" width="10.5703125" style="7" bestFit="1" customWidth="1"/>
    <col min="781" max="781" width="13.28515625" style="7" bestFit="1" customWidth="1"/>
    <col min="782" max="782" width="17.7109375" style="7" customWidth="1"/>
    <col min="783" max="783" width="18.85546875" style="7" customWidth="1"/>
    <col min="784" max="1024" width="11.42578125" style="7"/>
    <col min="1025" max="1025" width="38.28515625" style="7" customWidth="1"/>
    <col min="1026" max="1026" width="12.7109375" style="7" bestFit="1" customWidth="1"/>
    <col min="1027" max="1028" width="9.42578125" style="7" bestFit="1" customWidth="1"/>
    <col min="1029" max="1030" width="11.28515625" style="7" customWidth="1"/>
    <col min="1031" max="1031" width="17.85546875" style="7" bestFit="1" customWidth="1"/>
    <col min="1032" max="1033" width="17.28515625" style="7" customWidth="1"/>
    <col min="1034" max="1034" width="15.5703125" style="7" bestFit="1" customWidth="1"/>
    <col min="1035" max="1035" width="10.28515625" style="7" bestFit="1" customWidth="1"/>
    <col min="1036" max="1036" width="10.5703125" style="7" bestFit="1" customWidth="1"/>
    <col min="1037" max="1037" width="13.28515625" style="7" bestFit="1" customWidth="1"/>
    <col min="1038" max="1038" width="17.7109375" style="7" customWidth="1"/>
    <col min="1039" max="1039" width="18.85546875" style="7" customWidth="1"/>
    <col min="1040" max="1280" width="11.42578125" style="7"/>
    <col min="1281" max="1281" width="38.28515625" style="7" customWidth="1"/>
    <col min="1282" max="1282" width="12.7109375" style="7" bestFit="1" customWidth="1"/>
    <col min="1283" max="1284" width="9.42578125" style="7" bestFit="1" customWidth="1"/>
    <col min="1285" max="1286" width="11.28515625" style="7" customWidth="1"/>
    <col min="1287" max="1287" width="17.85546875" style="7" bestFit="1" customWidth="1"/>
    <col min="1288" max="1289" width="17.28515625" style="7" customWidth="1"/>
    <col min="1290" max="1290" width="15.5703125" style="7" bestFit="1" customWidth="1"/>
    <col min="1291" max="1291" width="10.28515625" style="7" bestFit="1" customWidth="1"/>
    <col min="1292" max="1292" width="10.5703125" style="7" bestFit="1" customWidth="1"/>
    <col min="1293" max="1293" width="13.28515625" style="7" bestFit="1" customWidth="1"/>
    <col min="1294" max="1294" width="17.7109375" style="7" customWidth="1"/>
    <col min="1295" max="1295" width="18.85546875" style="7" customWidth="1"/>
    <col min="1296" max="1536" width="11.42578125" style="7"/>
    <col min="1537" max="1537" width="38.28515625" style="7" customWidth="1"/>
    <col min="1538" max="1538" width="12.7109375" style="7" bestFit="1" customWidth="1"/>
    <col min="1539" max="1540" width="9.42578125" style="7" bestFit="1" customWidth="1"/>
    <col min="1541" max="1542" width="11.28515625" style="7" customWidth="1"/>
    <col min="1543" max="1543" width="17.85546875" style="7" bestFit="1" customWidth="1"/>
    <col min="1544" max="1545" width="17.28515625" style="7" customWidth="1"/>
    <col min="1546" max="1546" width="15.5703125" style="7" bestFit="1" customWidth="1"/>
    <col min="1547" max="1547" width="10.28515625" style="7" bestFit="1" customWidth="1"/>
    <col min="1548" max="1548" width="10.5703125" style="7" bestFit="1" customWidth="1"/>
    <col min="1549" max="1549" width="13.28515625" style="7" bestFit="1" customWidth="1"/>
    <col min="1550" max="1550" width="17.7109375" style="7" customWidth="1"/>
    <col min="1551" max="1551" width="18.85546875" style="7" customWidth="1"/>
    <col min="1552" max="1792" width="11.42578125" style="7"/>
    <col min="1793" max="1793" width="38.28515625" style="7" customWidth="1"/>
    <col min="1794" max="1794" width="12.7109375" style="7" bestFit="1" customWidth="1"/>
    <col min="1795" max="1796" width="9.42578125" style="7" bestFit="1" customWidth="1"/>
    <col min="1797" max="1798" width="11.28515625" style="7" customWidth="1"/>
    <col min="1799" max="1799" width="17.85546875" style="7" bestFit="1" customWidth="1"/>
    <col min="1800" max="1801" width="17.28515625" style="7" customWidth="1"/>
    <col min="1802" max="1802" width="15.5703125" style="7" bestFit="1" customWidth="1"/>
    <col min="1803" max="1803" width="10.28515625" style="7" bestFit="1" customWidth="1"/>
    <col min="1804" max="1804" width="10.5703125" style="7" bestFit="1" customWidth="1"/>
    <col min="1805" max="1805" width="13.28515625" style="7" bestFit="1" customWidth="1"/>
    <col min="1806" max="1806" width="17.7109375" style="7" customWidth="1"/>
    <col min="1807" max="1807" width="18.85546875" style="7" customWidth="1"/>
    <col min="1808" max="2048" width="11.42578125" style="7"/>
    <col min="2049" max="2049" width="38.28515625" style="7" customWidth="1"/>
    <col min="2050" max="2050" width="12.7109375" style="7" bestFit="1" customWidth="1"/>
    <col min="2051" max="2052" width="9.42578125" style="7" bestFit="1" customWidth="1"/>
    <col min="2053" max="2054" width="11.28515625" style="7" customWidth="1"/>
    <col min="2055" max="2055" width="17.85546875" style="7" bestFit="1" customWidth="1"/>
    <col min="2056" max="2057" width="17.28515625" style="7" customWidth="1"/>
    <col min="2058" max="2058" width="15.5703125" style="7" bestFit="1" customWidth="1"/>
    <col min="2059" max="2059" width="10.28515625" style="7" bestFit="1" customWidth="1"/>
    <col min="2060" max="2060" width="10.5703125" style="7" bestFit="1" customWidth="1"/>
    <col min="2061" max="2061" width="13.28515625" style="7" bestFit="1" customWidth="1"/>
    <col min="2062" max="2062" width="17.7109375" style="7" customWidth="1"/>
    <col min="2063" max="2063" width="18.85546875" style="7" customWidth="1"/>
    <col min="2064" max="2304" width="11.42578125" style="7"/>
    <col min="2305" max="2305" width="38.28515625" style="7" customWidth="1"/>
    <col min="2306" max="2306" width="12.7109375" style="7" bestFit="1" customWidth="1"/>
    <col min="2307" max="2308" width="9.42578125" style="7" bestFit="1" customWidth="1"/>
    <col min="2309" max="2310" width="11.28515625" style="7" customWidth="1"/>
    <col min="2311" max="2311" width="17.85546875" style="7" bestFit="1" customWidth="1"/>
    <col min="2312" max="2313" width="17.28515625" style="7" customWidth="1"/>
    <col min="2314" max="2314" width="15.5703125" style="7" bestFit="1" customWidth="1"/>
    <col min="2315" max="2315" width="10.28515625" style="7" bestFit="1" customWidth="1"/>
    <col min="2316" max="2316" width="10.5703125" style="7" bestFit="1" customWidth="1"/>
    <col min="2317" max="2317" width="13.28515625" style="7" bestFit="1" customWidth="1"/>
    <col min="2318" max="2318" width="17.7109375" style="7" customWidth="1"/>
    <col min="2319" max="2319" width="18.85546875" style="7" customWidth="1"/>
    <col min="2320" max="2560" width="11.42578125" style="7"/>
    <col min="2561" max="2561" width="38.28515625" style="7" customWidth="1"/>
    <col min="2562" max="2562" width="12.7109375" style="7" bestFit="1" customWidth="1"/>
    <col min="2563" max="2564" width="9.42578125" style="7" bestFit="1" customWidth="1"/>
    <col min="2565" max="2566" width="11.28515625" style="7" customWidth="1"/>
    <col min="2567" max="2567" width="17.85546875" style="7" bestFit="1" customWidth="1"/>
    <col min="2568" max="2569" width="17.28515625" style="7" customWidth="1"/>
    <col min="2570" max="2570" width="15.5703125" style="7" bestFit="1" customWidth="1"/>
    <col min="2571" max="2571" width="10.28515625" style="7" bestFit="1" customWidth="1"/>
    <col min="2572" max="2572" width="10.5703125" style="7" bestFit="1" customWidth="1"/>
    <col min="2573" max="2573" width="13.28515625" style="7" bestFit="1" customWidth="1"/>
    <col min="2574" max="2574" width="17.7109375" style="7" customWidth="1"/>
    <col min="2575" max="2575" width="18.85546875" style="7" customWidth="1"/>
    <col min="2576" max="2816" width="11.42578125" style="7"/>
    <col min="2817" max="2817" width="38.28515625" style="7" customWidth="1"/>
    <col min="2818" max="2818" width="12.7109375" style="7" bestFit="1" customWidth="1"/>
    <col min="2819" max="2820" width="9.42578125" style="7" bestFit="1" customWidth="1"/>
    <col min="2821" max="2822" width="11.28515625" style="7" customWidth="1"/>
    <col min="2823" max="2823" width="17.85546875" style="7" bestFit="1" customWidth="1"/>
    <col min="2824" max="2825" width="17.28515625" style="7" customWidth="1"/>
    <col min="2826" max="2826" width="15.5703125" style="7" bestFit="1" customWidth="1"/>
    <col min="2827" max="2827" width="10.28515625" style="7" bestFit="1" customWidth="1"/>
    <col min="2828" max="2828" width="10.5703125" style="7" bestFit="1" customWidth="1"/>
    <col min="2829" max="2829" width="13.28515625" style="7" bestFit="1" customWidth="1"/>
    <col min="2830" max="2830" width="17.7109375" style="7" customWidth="1"/>
    <col min="2831" max="2831" width="18.85546875" style="7" customWidth="1"/>
    <col min="2832" max="3072" width="11.42578125" style="7"/>
    <col min="3073" max="3073" width="38.28515625" style="7" customWidth="1"/>
    <col min="3074" max="3074" width="12.7109375" style="7" bestFit="1" customWidth="1"/>
    <col min="3075" max="3076" width="9.42578125" style="7" bestFit="1" customWidth="1"/>
    <col min="3077" max="3078" width="11.28515625" style="7" customWidth="1"/>
    <col min="3079" max="3079" width="17.85546875" style="7" bestFit="1" customWidth="1"/>
    <col min="3080" max="3081" width="17.28515625" style="7" customWidth="1"/>
    <col min="3082" max="3082" width="15.5703125" style="7" bestFit="1" customWidth="1"/>
    <col min="3083" max="3083" width="10.28515625" style="7" bestFit="1" customWidth="1"/>
    <col min="3084" max="3084" width="10.5703125" style="7" bestFit="1" customWidth="1"/>
    <col min="3085" max="3085" width="13.28515625" style="7" bestFit="1" customWidth="1"/>
    <col min="3086" max="3086" width="17.7109375" style="7" customWidth="1"/>
    <col min="3087" max="3087" width="18.85546875" style="7" customWidth="1"/>
    <col min="3088" max="3328" width="11.42578125" style="7"/>
    <col min="3329" max="3329" width="38.28515625" style="7" customWidth="1"/>
    <col min="3330" max="3330" width="12.7109375" style="7" bestFit="1" customWidth="1"/>
    <col min="3331" max="3332" width="9.42578125" style="7" bestFit="1" customWidth="1"/>
    <col min="3333" max="3334" width="11.28515625" style="7" customWidth="1"/>
    <col min="3335" max="3335" width="17.85546875" style="7" bestFit="1" customWidth="1"/>
    <col min="3336" max="3337" width="17.28515625" style="7" customWidth="1"/>
    <col min="3338" max="3338" width="15.5703125" style="7" bestFit="1" customWidth="1"/>
    <col min="3339" max="3339" width="10.28515625" style="7" bestFit="1" customWidth="1"/>
    <col min="3340" max="3340" width="10.5703125" style="7" bestFit="1" customWidth="1"/>
    <col min="3341" max="3341" width="13.28515625" style="7" bestFit="1" customWidth="1"/>
    <col min="3342" max="3342" width="17.7109375" style="7" customWidth="1"/>
    <col min="3343" max="3343" width="18.85546875" style="7" customWidth="1"/>
    <col min="3344" max="3584" width="11.42578125" style="7"/>
    <col min="3585" max="3585" width="38.28515625" style="7" customWidth="1"/>
    <col min="3586" max="3586" width="12.7109375" style="7" bestFit="1" customWidth="1"/>
    <col min="3587" max="3588" width="9.42578125" style="7" bestFit="1" customWidth="1"/>
    <col min="3589" max="3590" width="11.28515625" style="7" customWidth="1"/>
    <col min="3591" max="3591" width="17.85546875" style="7" bestFit="1" customWidth="1"/>
    <col min="3592" max="3593" width="17.28515625" style="7" customWidth="1"/>
    <col min="3594" max="3594" width="15.5703125" style="7" bestFit="1" customWidth="1"/>
    <col min="3595" max="3595" width="10.28515625" style="7" bestFit="1" customWidth="1"/>
    <col min="3596" max="3596" width="10.5703125" style="7" bestFit="1" customWidth="1"/>
    <col min="3597" max="3597" width="13.28515625" style="7" bestFit="1" customWidth="1"/>
    <col min="3598" max="3598" width="17.7109375" style="7" customWidth="1"/>
    <col min="3599" max="3599" width="18.85546875" style="7" customWidth="1"/>
    <col min="3600" max="3840" width="11.42578125" style="7"/>
    <col min="3841" max="3841" width="38.28515625" style="7" customWidth="1"/>
    <col min="3842" max="3842" width="12.7109375" style="7" bestFit="1" customWidth="1"/>
    <col min="3843" max="3844" width="9.42578125" style="7" bestFit="1" customWidth="1"/>
    <col min="3845" max="3846" width="11.28515625" style="7" customWidth="1"/>
    <col min="3847" max="3847" width="17.85546875" style="7" bestFit="1" customWidth="1"/>
    <col min="3848" max="3849" width="17.28515625" style="7" customWidth="1"/>
    <col min="3850" max="3850" width="15.5703125" style="7" bestFit="1" customWidth="1"/>
    <col min="3851" max="3851" width="10.28515625" style="7" bestFit="1" customWidth="1"/>
    <col min="3852" max="3852" width="10.5703125" style="7" bestFit="1" customWidth="1"/>
    <col min="3853" max="3853" width="13.28515625" style="7" bestFit="1" customWidth="1"/>
    <col min="3854" max="3854" width="17.7109375" style="7" customWidth="1"/>
    <col min="3855" max="3855" width="18.85546875" style="7" customWidth="1"/>
    <col min="3856" max="4096" width="11.42578125" style="7"/>
    <col min="4097" max="4097" width="38.28515625" style="7" customWidth="1"/>
    <col min="4098" max="4098" width="12.7109375" style="7" bestFit="1" customWidth="1"/>
    <col min="4099" max="4100" width="9.42578125" style="7" bestFit="1" customWidth="1"/>
    <col min="4101" max="4102" width="11.28515625" style="7" customWidth="1"/>
    <col min="4103" max="4103" width="17.85546875" style="7" bestFit="1" customWidth="1"/>
    <col min="4104" max="4105" width="17.28515625" style="7" customWidth="1"/>
    <col min="4106" max="4106" width="15.5703125" style="7" bestFit="1" customWidth="1"/>
    <col min="4107" max="4107" width="10.28515625" style="7" bestFit="1" customWidth="1"/>
    <col min="4108" max="4108" width="10.5703125" style="7" bestFit="1" customWidth="1"/>
    <col min="4109" max="4109" width="13.28515625" style="7" bestFit="1" customWidth="1"/>
    <col min="4110" max="4110" width="17.7109375" style="7" customWidth="1"/>
    <col min="4111" max="4111" width="18.85546875" style="7" customWidth="1"/>
    <col min="4112" max="4352" width="11.42578125" style="7"/>
    <col min="4353" max="4353" width="38.28515625" style="7" customWidth="1"/>
    <col min="4354" max="4354" width="12.7109375" style="7" bestFit="1" customWidth="1"/>
    <col min="4355" max="4356" width="9.42578125" style="7" bestFit="1" customWidth="1"/>
    <col min="4357" max="4358" width="11.28515625" style="7" customWidth="1"/>
    <col min="4359" max="4359" width="17.85546875" style="7" bestFit="1" customWidth="1"/>
    <col min="4360" max="4361" width="17.28515625" style="7" customWidth="1"/>
    <col min="4362" max="4362" width="15.5703125" style="7" bestFit="1" customWidth="1"/>
    <col min="4363" max="4363" width="10.28515625" style="7" bestFit="1" customWidth="1"/>
    <col min="4364" max="4364" width="10.5703125" style="7" bestFit="1" customWidth="1"/>
    <col min="4365" max="4365" width="13.28515625" style="7" bestFit="1" customWidth="1"/>
    <col min="4366" max="4366" width="17.7109375" style="7" customWidth="1"/>
    <col min="4367" max="4367" width="18.85546875" style="7" customWidth="1"/>
    <col min="4368" max="4608" width="11.42578125" style="7"/>
    <col min="4609" max="4609" width="38.28515625" style="7" customWidth="1"/>
    <col min="4610" max="4610" width="12.7109375" style="7" bestFit="1" customWidth="1"/>
    <col min="4611" max="4612" width="9.42578125" style="7" bestFit="1" customWidth="1"/>
    <col min="4613" max="4614" width="11.28515625" style="7" customWidth="1"/>
    <col min="4615" max="4615" width="17.85546875" style="7" bestFit="1" customWidth="1"/>
    <col min="4616" max="4617" width="17.28515625" style="7" customWidth="1"/>
    <col min="4618" max="4618" width="15.5703125" style="7" bestFit="1" customWidth="1"/>
    <col min="4619" max="4619" width="10.28515625" style="7" bestFit="1" customWidth="1"/>
    <col min="4620" max="4620" width="10.5703125" style="7" bestFit="1" customWidth="1"/>
    <col min="4621" max="4621" width="13.28515625" style="7" bestFit="1" customWidth="1"/>
    <col min="4622" max="4622" width="17.7109375" style="7" customWidth="1"/>
    <col min="4623" max="4623" width="18.85546875" style="7" customWidth="1"/>
    <col min="4624" max="4864" width="11.42578125" style="7"/>
    <col min="4865" max="4865" width="38.28515625" style="7" customWidth="1"/>
    <col min="4866" max="4866" width="12.7109375" style="7" bestFit="1" customWidth="1"/>
    <col min="4867" max="4868" width="9.42578125" style="7" bestFit="1" customWidth="1"/>
    <col min="4869" max="4870" width="11.28515625" style="7" customWidth="1"/>
    <col min="4871" max="4871" width="17.85546875" style="7" bestFit="1" customWidth="1"/>
    <col min="4872" max="4873" width="17.28515625" style="7" customWidth="1"/>
    <col min="4874" max="4874" width="15.5703125" style="7" bestFit="1" customWidth="1"/>
    <col min="4875" max="4875" width="10.28515625" style="7" bestFit="1" customWidth="1"/>
    <col min="4876" max="4876" width="10.5703125" style="7" bestFit="1" customWidth="1"/>
    <col min="4877" max="4877" width="13.28515625" style="7" bestFit="1" customWidth="1"/>
    <col min="4878" max="4878" width="17.7109375" style="7" customWidth="1"/>
    <col min="4879" max="4879" width="18.85546875" style="7" customWidth="1"/>
    <col min="4880" max="5120" width="11.42578125" style="7"/>
    <col min="5121" max="5121" width="38.28515625" style="7" customWidth="1"/>
    <col min="5122" max="5122" width="12.7109375" style="7" bestFit="1" customWidth="1"/>
    <col min="5123" max="5124" width="9.42578125" style="7" bestFit="1" customWidth="1"/>
    <col min="5125" max="5126" width="11.28515625" style="7" customWidth="1"/>
    <col min="5127" max="5127" width="17.85546875" style="7" bestFit="1" customWidth="1"/>
    <col min="5128" max="5129" width="17.28515625" style="7" customWidth="1"/>
    <col min="5130" max="5130" width="15.5703125" style="7" bestFit="1" customWidth="1"/>
    <col min="5131" max="5131" width="10.28515625" style="7" bestFit="1" customWidth="1"/>
    <col min="5132" max="5132" width="10.5703125" style="7" bestFit="1" customWidth="1"/>
    <col min="5133" max="5133" width="13.28515625" style="7" bestFit="1" customWidth="1"/>
    <col min="5134" max="5134" width="17.7109375" style="7" customWidth="1"/>
    <col min="5135" max="5135" width="18.85546875" style="7" customWidth="1"/>
    <col min="5136" max="5376" width="11.42578125" style="7"/>
    <col min="5377" max="5377" width="38.28515625" style="7" customWidth="1"/>
    <col min="5378" max="5378" width="12.7109375" style="7" bestFit="1" customWidth="1"/>
    <col min="5379" max="5380" width="9.42578125" style="7" bestFit="1" customWidth="1"/>
    <col min="5381" max="5382" width="11.28515625" style="7" customWidth="1"/>
    <col min="5383" max="5383" width="17.85546875" style="7" bestFit="1" customWidth="1"/>
    <col min="5384" max="5385" width="17.28515625" style="7" customWidth="1"/>
    <col min="5386" max="5386" width="15.5703125" style="7" bestFit="1" customWidth="1"/>
    <col min="5387" max="5387" width="10.28515625" style="7" bestFit="1" customWidth="1"/>
    <col min="5388" max="5388" width="10.5703125" style="7" bestFit="1" customWidth="1"/>
    <col min="5389" max="5389" width="13.28515625" style="7" bestFit="1" customWidth="1"/>
    <col min="5390" max="5390" width="17.7109375" style="7" customWidth="1"/>
    <col min="5391" max="5391" width="18.85546875" style="7" customWidth="1"/>
    <col min="5392" max="5632" width="11.42578125" style="7"/>
    <col min="5633" max="5633" width="38.28515625" style="7" customWidth="1"/>
    <col min="5634" max="5634" width="12.7109375" style="7" bestFit="1" customWidth="1"/>
    <col min="5635" max="5636" width="9.42578125" style="7" bestFit="1" customWidth="1"/>
    <col min="5637" max="5638" width="11.28515625" style="7" customWidth="1"/>
    <col min="5639" max="5639" width="17.85546875" style="7" bestFit="1" customWidth="1"/>
    <col min="5640" max="5641" width="17.28515625" style="7" customWidth="1"/>
    <col min="5642" max="5642" width="15.5703125" style="7" bestFit="1" customWidth="1"/>
    <col min="5643" max="5643" width="10.28515625" style="7" bestFit="1" customWidth="1"/>
    <col min="5644" max="5644" width="10.5703125" style="7" bestFit="1" customWidth="1"/>
    <col min="5645" max="5645" width="13.28515625" style="7" bestFit="1" customWidth="1"/>
    <col min="5646" max="5646" width="17.7109375" style="7" customWidth="1"/>
    <col min="5647" max="5647" width="18.85546875" style="7" customWidth="1"/>
    <col min="5648" max="5888" width="11.42578125" style="7"/>
    <col min="5889" max="5889" width="38.28515625" style="7" customWidth="1"/>
    <col min="5890" max="5890" width="12.7109375" style="7" bestFit="1" customWidth="1"/>
    <col min="5891" max="5892" width="9.42578125" style="7" bestFit="1" customWidth="1"/>
    <col min="5893" max="5894" width="11.28515625" style="7" customWidth="1"/>
    <col min="5895" max="5895" width="17.85546875" style="7" bestFit="1" customWidth="1"/>
    <col min="5896" max="5897" width="17.28515625" style="7" customWidth="1"/>
    <col min="5898" max="5898" width="15.5703125" style="7" bestFit="1" customWidth="1"/>
    <col min="5899" max="5899" width="10.28515625" style="7" bestFit="1" customWidth="1"/>
    <col min="5900" max="5900" width="10.5703125" style="7" bestFit="1" customWidth="1"/>
    <col min="5901" max="5901" width="13.28515625" style="7" bestFit="1" customWidth="1"/>
    <col min="5902" max="5902" width="17.7109375" style="7" customWidth="1"/>
    <col min="5903" max="5903" width="18.85546875" style="7" customWidth="1"/>
    <col min="5904" max="6144" width="11.42578125" style="7"/>
    <col min="6145" max="6145" width="38.28515625" style="7" customWidth="1"/>
    <col min="6146" max="6146" width="12.7109375" style="7" bestFit="1" customWidth="1"/>
    <col min="6147" max="6148" width="9.42578125" style="7" bestFit="1" customWidth="1"/>
    <col min="6149" max="6150" width="11.28515625" style="7" customWidth="1"/>
    <col min="6151" max="6151" width="17.85546875" style="7" bestFit="1" customWidth="1"/>
    <col min="6152" max="6153" width="17.28515625" style="7" customWidth="1"/>
    <col min="6154" max="6154" width="15.5703125" style="7" bestFit="1" customWidth="1"/>
    <col min="6155" max="6155" width="10.28515625" style="7" bestFit="1" customWidth="1"/>
    <col min="6156" max="6156" width="10.5703125" style="7" bestFit="1" customWidth="1"/>
    <col min="6157" max="6157" width="13.28515625" style="7" bestFit="1" customWidth="1"/>
    <col min="6158" max="6158" width="17.7109375" style="7" customWidth="1"/>
    <col min="6159" max="6159" width="18.85546875" style="7" customWidth="1"/>
    <col min="6160" max="6400" width="11.42578125" style="7"/>
    <col min="6401" max="6401" width="38.28515625" style="7" customWidth="1"/>
    <col min="6402" max="6402" width="12.7109375" style="7" bestFit="1" customWidth="1"/>
    <col min="6403" max="6404" width="9.42578125" style="7" bestFit="1" customWidth="1"/>
    <col min="6405" max="6406" width="11.28515625" style="7" customWidth="1"/>
    <col min="6407" max="6407" width="17.85546875" style="7" bestFit="1" customWidth="1"/>
    <col min="6408" max="6409" width="17.28515625" style="7" customWidth="1"/>
    <col min="6410" max="6410" width="15.5703125" style="7" bestFit="1" customWidth="1"/>
    <col min="6411" max="6411" width="10.28515625" style="7" bestFit="1" customWidth="1"/>
    <col min="6412" max="6412" width="10.5703125" style="7" bestFit="1" customWidth="1"/>
    <col min="6413" max="6413" width="13.28515625" style="7" bestFit="1" customWidth="1"/>
    <col min="6414" max="6414" width="17.7109375" style="7" customWidth="1"/>
    <col min="6415" max="6415" width="18.85546875" style="7" customWidth="1"/>
    <col min="6416" max="6656" width="11.42578125" style="7"/>
    <col min="6657" max="6657" width="38.28515625" style="7" customWidth="1"/>
    <col min="6658" max="6658" width="12.7109375" style="7" bestFit="1" customWidth="1"/>
    <col min="6659" max="6660" width="9.42578125" style="7" bestFit="1" customWidth="1"/>
    <col min="6661" max="6662" width="11.28515625" style="7" customWidth="1"/>
    <col min="6663" max="6663" width="17.85546875" style="7" bestFit="1" customWidth="1"/>
    <col min="6664" max="6665" width="17.28515625" style="7" customWidth="1"/>
    <col min="6666" max="6666" width="15.5703125" style="7" bestFit="1" customWidth="1"/>
    <col min="6667" max="6667" width="10.28515625" style="7" bestFit="1" customWidth="1"/>
    <col min="6668" max="6668" width="10.5703125" style="7" bestFit="1" customWidth="1"/>
    <col min="6669" max="6669" width="13.28515625" style="7" bestFit="1" customWidth="1"/>
    <col min="6670" max="6670" width="17.7109375" style="7" customWidth="1"/>
    <col min="6671" max="6671" width="18.85546875" style="7" customWidth="1"/>
    <col min="6672" max="6912" width="11.42578125" style="7"/>
    <col min="6913" max="6913" width="38.28515625" style="7" customWidth="1"/>
    <col min="6914" max="6914" width="12.7109375" style="7" bestFit="1" customWidth="1"/>
    <col min="6915" max="6916" width="9.42578125" style="7" bestFit="1" customWidth="1"/>
    <col min="6917" max="6918" width="11.28515625" style="7" customWidth="1"/>
    <col min="6919" max="6919" width="17.85546875" style="7" bestFit="1" customWidth="1"/>
    <col min="6920" max="6921" width="17.28515625" style="7" customWidth="1"/>
    <col min="6922" max="6922" width="15.5703125" style="7" bestFit="1" customWidth="1"/>
    <col min="6923" max="6923" width="10.28515625" style="7" bestFit="1" customWidth="1"/>
    <col min="6924" max="6924" width="10.5703125" style="7" bestFit="1" customWidth="1"/>
    <col min="6925" max="6925" width="13.28515625" style="7" bestFit="1" customWidth="1"/>
    <col min="6926" max="6926" width="17.7109375" style="7" customWidth="1"/>
    <col min="6927" max="6927" width="18.85546875" style="7" customWidth="1"/>
    <col min="6928" max="7168" width="11.42578125" style="7"/>
    <col min="7169" max="7169" width="38.28515625" style="7" customWidth="1"/>
    <col min="7170" max="7170" width="12.7109375" style="7" bestFit="1" customWidth="1"/>
    <col min="7171" max="7172" width="9.42578125" style="7" bestFit="1" customWidth="1"/>
    <col min="7173" max="7174" width="11.28515625" style="7" customWidth="1"/>
    <col min="7175" max="7175" width="17.85546875" style="7" bestFit="1" customWidth="1"/>
    <col min="7176" max="7177" width="17.28515625" style="7" customWidth="1"/>
    <col min="7178" max="7178" width="15.5703125" style="7" bestFit="1" customWidth="1"/>
    <col min="7179" max="7179" width="10.28515625" style="7" bestFit="1" customWidth="1"/>
    <col min="7180" max="7180" width="10.5703125" style="7" bestFit="1" customWidth="1"/>
    <col min="7181" max="7181" width="13.28515625" style="7" bestFit="1" customWidth="1"/>
    <col min="7182" max="7182" width="17.7109375" style="7" customWidth="1"/>
    <col min="7183" max="7183" width="18.85546875" style="7" customWidth="1"/>
    <col min="7184" max="7424" width="11.42578125" style="7"/>
    <col min="7425" max="7425" width="38.28515625" style="7" customWidth="1"/>
    <col min="7426" max="7426" width="12.7109375" style="7" bestFit="1" customWidth="1"/>
    <col min="7427" max="7428" width="9.42578125" style="7" bestFit="1" customWidth="1"/>
    <col min="7429" max="7430" width="11.28515625" style="7" customWidth="1"/>
    <col min="7431" max="7431" width="17.85546875" style="7" bestFit="1" customWidth="1"/>
    <col min="7432" max="7433" width="17.28515625" style="7" customWidth="1"/>
    <col min="7434" max="7434" width="15.5703125" style="7" bestFit="1" customWidth="1"/>
    <col min="7435" max="7435" width="10.28515625" style="7" bestFit="1" customWidth="1"/>
    <col min="7436" max="7436" width="10.5703125" style="7" bestFit="1" customWidth="1"/>
    <col min="7437" max="7437" width="13.28515625" style="7" bestFit="1" customWidth="1"/>
    <col min="7438" max="7438" width="17.7109375" style="7" customWidth="1"/>
    <col min="7439" max="7439" width="18.85546875" style="7" customWidth="1"/>
    <col min="7440" max="7680" width="11.42578125" style="7"/>
    <col min="7681" max="7681" width="38.28515625" style="7" customWidth="1"/>
    <col min="7682" max="7682" width="12.7109375" style="7" bestFit="1" customWidth="1"/>
    <col min="7683" max="7684" width="9.42578125" style="7" bestFit="1" customWidth="1"/>
    <col min="7685" max="7686" width="11.28515625" style="7" customWidth="1"/>
    <col min="7687" max="7687" width="17.85546875" style="7" bestFit="1" customWidth="1"/>
    <col min="7688" max="7689" width="17.28515625" style="7" customWidth="1"/>
    <col min="7690" max="7690" width="15.5703125" style="7" bestFit="1" customWidth="1"/>
    <col min="7691" max="7691" width="10.28515625" style="7" bestFit="1" customWidth="1"/>
    <col min="7692" max="7692" width="10.5703125" style="7" bestFit="1" customWidth="1"/>
    <col min="7693" max="7693" width="13.28515625" style="7" bestFit="1" customWidth="1"/>
    <col min="7694" max="7694" width="17.7109375" style="7" customWidth="1"/>
    <col min="7695" max="7695" width="18.85546875" style="7" customWidth="1"/>
    <col min="7696" max="7936" width="11.42578125" style="7"/>
    <col min="7937" max="7937" width="38.28515625" style="7" customWidth="1"/>
    <col min="7938" max="7938" width="12.7109375" style="7" bestFit="1" customWidth="1"/>
    <col min="7939" max="7940" width="9.42578125" style="7" bestFit="1" customWidth="1"/>
    <col min="7941" max="7942" width="11.28515625" style="7" customWidth="1"/>
    <col min="7943" max="7943" width="17.85546875" style="7" bestFit="1" customWidth="1"/>
    <col min="7944" max="7945" width="17.28515625" style="7" customWidth="1"/>
    <col min="7946" max="7946" width="15.5703125" style="7" bestFit="1" customWidth="1"/>
    <col min="7947" max="7947" width="10.28515625" style="7" bestFit="1" customWidth="1"/>
    <col min="7948" max="7948" width="10.5703125" style="7" bestFit="1" customWidth="1"/>
    <col min="7949" max="7949" width="13.28515625" style="7" bestFit="1" customWidth="1"/>
    <col min="7950" max="7950" width="17.7109375" style="7" customWidth="1"/>
    <col min="7951" max="7951" width="18.85546875" style="7" customWidth="1"/>
    <col min="7952" max="8192" width="11.42578125" style="7"/>
    <col min="8193" max="8193" width="38.28515625" style="7" customWidth="1"/>
    <col min="8194" max="8194" width="12.7109375" style="7" bestFit="1" customWidth="1"/>
    <col min="8195" max="8196" width="9.42578125" style="7" bestFit="1" customWidth="1"/>
    <col min="8197" max="8198" width="11.28515625" style="7" customWidth="1"/>
    <col min="8199" max="8199" width="17.85546875" style="7" bestFit="1" customWidth="1"/>
    <col min="8200" max="8201" width="17.28515625" style="7" customWidth="1"/>
    <col min="8202" max="8202" width="15.5703125" style="7" bestFit="1" customWidth="1"/>
    <col min="8203" max="8203" width="10.28515625" style="7" bestFit="1" customWidth="1"/>
    <col min="8204" max="8204" width="10.5703125" style="7" bestFit="1" customWidth="1"/>
    <col min="8205" max="8205" width="13.28515625" style="7" bestFit="1" customWidth="1"/>
    <col min="8206" max="8206" width="17.7109375" style="7" customWidth="1"/>
    <col min="8207" max="8207" width="18.85546875" style="7" customWidth="1"/>
    <col min="8208" max="8448" width="11.42578125" style="7"/>
    <col min="8449" max="8449" width="38.28515625" style="7" customWidth="1"/>
    <col min="8450" max="8450" width="12.7109375" style="7" bestFit="1" customWidth="1"/>
    <col min="8451" max="8452" width="9.42578125" style="7" bestFit="1" customWidth="1"/>
    <col min="8453" max="8454" width="11.28515625" style="7" customWidth="1"/>
    <col min="8455" max="8455" width="17.85546875" style="7" bestFit="1" customWidth="1"/>
    <col min="8456" max="8457" width="17.28515625" style="7" customWidth="1"/>
    <col min="8458" max="8458" width="15.5703125" style="7" bestFit="1" customWidth="1"/>
    <col min="8459" max="8459" width="10.28515625" style="7" bestFit="1" customWidth="1"/>
    <col min="8460" max="8460" width="10.5703125" style="7" bestFit="1" customWidth="1"/>
    <col min="8461" max="8461" width="13.28515625" style="7" bestFit="1" customWidth="1"/>
    <col min="8462" max="8462" width="17.7109375" style="7" customWidth="1"/>
    <col min="8463" max="8463" width="18.85546875" style="7" customWidth="1"/>
    <col min="8464" max="8704" width="11.42578125" style="7"/>
    <col min="8705" max="8705" width="38.28515625" style="7" customWidth="1"/>
    <col min="8706" max="8706" width="12.7109375" style="7" bestFit="1" customWidth="1"/>
    <col min="8707" max="8708" width="9.42578125" style="7" bestFit="1" customWidth="1"/>
    <col min="8709" max="8710" width="11.28515625" style="7" customWidth="1"/>
    <col min="8711" max="8711" width="17.85546875" style="7" bestFit="1" customWidth="1"/>
    <col min="8712" max="8713" width="17.28515625" style="7" customWidth="1"/>
    <col min="8714" max="8714" width="15.5703125" style="7" bestFit="1" customWidth="1"/>
    <col min="8715" max="8715" width="10.28515625" style="7" bestFit="1" customWidth="1"/>
    <col min="8716" max="8716" width="10.5703125" style="7" bestFit="1" customWidth="1"/>
    <col min="8717" max="8717" width="13.28515625" style="7" bestFit="1" customWidth="1"/>
    <col min="8718" max="8718" width="17.7109375" style="7" customWidth="1"/>
    <col min="8719" max="8719" width="18.85546875" style="7" customWidth="1"/>
    <col min="8720" max="8960" width="11.42578125" style="7"/>
    <col min="8961" max="8961" width="38.28515625" style="7" customWidth="1"/>
    <col min="8962" max="8962" width="12.7109375" style="7" bestFit="1" customWidth="1"/>
    <col min="8963" max="8964" width="9.42578125" style="7" bestFit="1" customWidth="1"/>
    <col min="8965" max="8966" width="11.28515625" style="7" customWidth="1"/>
    <col min="8967" max="8967" width="17.85546875" style="7" bestFit="1" customWidth="1"/>
    <col min="8968" max="8969" width="17.28515625" style="7" customWidth="1"/>
    <col min="8970" max="8970" width="15.5703125" style="7" bestFit="1" customWidth="1"/>
    <col min="8971" max="8971" width="10.28515625" style="7" bestFit="1" customWidth="1"/>
    <col min="8972" max="8972" width="10.5703125" style="7" bestFit="1" customWidth="1"/>
    <col min="8973" max="8973" width="13.28515625" style="7" bestFit="1" customWidth="1"/>
    <col min="8974" max="8974" width="17.7109375" style="7" customWidth="1"/>
    <col min="8975" max="8975" width="18.85546875" style="7" customWidth="1"/>
    <col min="8976" max="9216" width="11.42578125" style="7"/>
    <col min="9217" max="9217" width="38.28515625" style="7" customWidth="1"/>
    <col min="9218" max="9218" width="12.7109375" style="7" bestFit="1" customWidth="1"/>
    <col min="9219" max="9220" width="9.42578125" style="7" bestFit="1" customWidth="1"/>
    <col min="9221" max="9222" width="11.28515625" style="7" customWidth="1"/>
    <col min="9223" max="9223" width="17.85546875" style="7" bestFit="1" customWidth="1"/>
    <col min="9224" max="9225" width="17.28515625" style="7" customWidth="1"/>
    <col min="9226" max="9226" width="15.5703125" style="7" bestFit="1" customWidth="1"/>
    <col min="9227" max="9227" width="10.28515625" style="7" bestFit="1" customWidth="1"/>
    <col min="9228" max="9228" width="10.5703125" style="7" bestFit="1" customWidth="1"/>
    <col min="9229" max="9229" width="13.28515625" style="7" bestFit="1" customWidth="1"/>
    <col min="9230" max="9230" width="17.7109375" style="7" customWidth="1"/>
    <col min="9231" max="9231" width="18.85546875" style="7" customWidth="1"/>
    <col min="9232" max="9472" width="11.42578125" style="7"/>
    <col min="9473" max="9473" width="38.28515625" style="7" customWidth="1"/>
    <col min="9474" max="9474" width="12.7109375" style="7" bestFit="1" customWidth="1"/>
    <col min="9475" max="9476" width="9.42578125" style="7" bestFit="1" customWidth="1"/>
    <col min="9477" max="9478" width="11.28515625" style="7" customWidth="1"/>
    <col min="9479" max="9479" width="17.85546875" style="7" bestFit="1" customWidth="1"/>
    <col min="9480" max="9481" width="17.28515625" style="7" customWidth="1"/>
    <col min="9482" max="9482" width="15.5703125" style="7" bestFit="1" customWidth="1"/>
    <col min="9483" max="9483" width="10.28515625" style="7" bestFit="1" customWidth="1"/>
    <col min="9484" max="9484" width="10.5703125" style="7" bestFit="1" customWidth="1"/>
    <col min="9485" max="9485" width="13.28515625" style="7" bestFit="1" customWidth="1"/>
    <col min="9486" max="9486" width="17.7109375" style="7" customWidth="1"/>
    <col min="9487" max="9487" width="18.85546875" style="7" customWidth="1"/>
    <col min="9488" max="9728" width="11.42578125" style="7"/>
    <col min="9729" max="9729" width="38.28515625" style="7" customWidth="1"/>
    <col min="9730" max="9730" width="12.7109375" style="7" bestFit="1" customWidth="1"/>
    <col min="9731" max="9732" width="9.42578125" style="7" bestFit="1" customWidth="1"/>
    <col min="9733" max="9734" width="11.28515625" style="7" customWidth="1"/>
    <col min="9735" max="9735" width="17.85546875" style="7" bestFit="1" customWidth="1"/>
    <col min="9736" max="9737" width="17.28515625" style="7" customWidth="1"/>
    <col min="9738" max="9738" width="15.5703125" style="7" bestFit="1" customWidth="1"/>
    <col min="9739" max="9739" width="10.28515625" style="7" bestFit="1" customWidth="1"/>
    <col min="9740" max="9740" width="10.5703125" style="7" bestFit="1" customWidth="1"/>
    <col min="9741" max="9741" width="13.28515625" style="7" bestFit="1" customWidth="1"/>
    <col min="9742" max="9742" width="17.7109375" style="7" customWidth="1"/>
    <col min="9743" max="9743" width="18.85546875" style="7" customWidth="1"/>
    <col min="9744" max="9984" width="11.42578125" style="7"/>
    <col min="9985" max="9985" width="38.28515625" style="7" customWidth="1"/>
    <col min="9986" max="9986" width="12.7109375" style="7" bestFit="1" customWidth="1"/>
    <col min="9987" max="9988" width="9.42578125" style="7" bestFit="1" customWidth="1"/>
    <col min="9989" max="9990" width="11.28515625" style="7" customWidth="1"/>
    <col min="9991" max="9991" width="17.85546875" style="7" bestFit="1" customWidth="1"/>
    <col min="9992" max="9993" width="17.28515625" style="7" customWidth="1"/>
    <col min="9994" max="9994" width="15.5703125" style="7" bestFit="1" customWidth="1"/>
    <col min="9995" max="9995" width="10.28515625" style="7" bestFit="1" customWidth="1"/>
    <col min="9996" max="9996" width="10.5703125" style="7" bestFit="1" customWidth="1"/>
    <col min="9997" max="9997" width="13.28515625" style="7" bestFit="1" customWidth="1"/>
    <col min="9998" max="9998" width="17.7109375" style="7" customWidth="1"/>
    <col min="9999" max="9999" width="18.85546875" style="7" customWidth="1"/>
    <col min="10000" max="10240" width="11.42578125" style="7"/>
    <col min="10241" max="10241" width="38.28515625" style="7" customWidth="1"/>
    <col min="10242" max="10242" width="12.7109375" style="7" bestFit="1" customWidth="1"/>
    <col min="10243" max="10244" width="9.42578125" style="7" bestFit="1" customWidth="1"/>
    <col min="10245" max="10246" width="11.28515625" style="7" customWidth="1"/>
    <col min="10247" max="10247" width="17.85546875" style="7" bestFit="1" customWidth="1"/>
    <col min="10248" max="10249" width="17.28515625" style="7" customWidth="1"/>
    <col min="10250" max="10250" width="15.5703125" style="7" bestFit="1" customWidth="1"/>
    <col min="10251" max="10251" width="10.28515625" style="7" bestFit="1" customWidth="1"/>
    <col min="10252" max="10252" width="10.5703125" style="7" bestFit="1" customWidth="1"/>
    <col min="10253" max="10253" width="13.28515625" style="7" bestFit="1" customWidth="1"/>
    <col min="10254" max="10254" width="17.7109375" style="7" customWidth="1"/>
    <col min="10255" max="10255" width="18.85546875" style="7" customWidth="1"/>
    <col min="10256" max="10496" width="11.42578125" style="7"/>
    <col min="10497" max="10497" width="38.28515625" style="7" customWidth="1"/>
    <col min="10498" max="10498" width="12.7109375" style="7" bestFit="1" customWidth="1"/>
    <col min="10499" max="10500" width="9.42578125" style="7" bestFit="1" customWidth="1"/>
    <col min="10501" max="10502" width="11.28515625" style="7" customWidth="1"/>
    <col min="10503" max="10503" width="17.85546875" style="7" bestFit="1" customWidth="1"/>
    <col min="10504" max="10505" width="17.28515625" style="7" customWidth="1"/>
    <col min="10506" max="10506" width="15.5703125" style="7" bestFit="1" customWidth="1"/>
    <col min="10507" max="10507" width="10.28515625" style="7" bestFit="1" customWidth="1"/>
    <col min="10508" max="10508" width="10.5703125" style="7" bestFit="1" customWidth="1"/>
    <col min="10509" max="10509" width="13.28515625" style="7" bestFit="1" customWidth="1"/>
    <col min="10510" max="10510" width="17.7109375" style="7" customWidth="1"/>
    <col min="10511" max="10511" width="18.85546875" style="7" customWidth="1"/>
    <col min="10512" max="10752" width="11.42578125" style="7"/>
    <col min="10753" max="10753" width="38.28515625" style="7" customWidth="1"/>
    <col min="10754" max="10754" width="12.7109375" style="7" bestFit="1" customWidth="1"/>
    <col min="10755" max="10756" width="9.42578125" style="7" bestFit="1" customWidth="1"/>
    <col min="10757" max="10758" width="11.28515625" style="7" customWidth="1"/>
    <col min="10759" max="10759" width="17.85546875" style="7" bestFit="1" customWidth="1"/>
    <col min="10760" max="10761" width="17.28515625" style="7" customWidth="1"/>
    <col min="10762" max="10762" width="15.5703125" style="7" bestFit="1" customWidth="1"/>
    <col min="10763" max="10763" width="10.28515625" style="7" bestFit="1" customWidth="1"/>
    <col min="10764" max="10764" width="10.5703125" style="7" bestFit="1" customWidth="1"/>
    <col min="10765" max="10765" width="13.28515625" style="7" bestFit="1" customWidth="1"/>
    <col min="10766" max="10766" width="17.7109375" style="7" customWidth="1"/>
    <col min="10767" max="10767" width="18.85546875" style="7" customWidth="1"/>
    <col min="10768" max="11008" width="11.42578125" style="7"/>
    <col min="11009" max="11009" width="38.28515625" style="7" customWidth="1"/>
    <col min="11010" max="11010" width="12.7109375" style="7" bestFit="1" customWidth="1"/>
    <col min="11011" max="11012" width="9.42578125" style="7" bestFit="1" customWidth="1"/>
    <col min="11013" max="11014" width="11.28515625" style="7" customWidth="1"/>
    <col min="11015" max="11015" width="17.85546875" style="7" bestFit="1" customWidth="1"/>
    <col min="11016" max="11017" width="17.28515625" style="7" customWidth="1"/>
    <col min="11018" max="11018" width="15.5703125" style="7" bestFit="1" customWidth="1"/>
    <col min="11019" max="11019" width="10.28515625" style="7" bestFit="1" customWidth="1"/>
    <col min="11020" max="11020" width="10.5703125" style="7" bestFit="1" customWidth="1"/>
    <col min="11021" max="11021" width="13.28515625" style="7" bestFit="1" customWidth="1"/>
    <col min="11022" max="11022" width="17.7109375" style="7" customWidth="1"/>
    <col min="11023" max="11023" width="18.85546875" style="7" customWidth="1"/>
    <col min="11024" max="11264" width="11.42578125" style="7"/>
    <col min="11265" max="11265" width="38.28515625" style="7" customWidth="1"/>
    <col min="11266" max="11266" width="12.7109375" style="7" bestFit="1" customWidth="1"/>
    <col min="11267" max="11268" width="9.42578125" style="7" bestFit="1" customWidth="1"/>
    <col min="11269" max="11270" width="11.28515625" style="7" customWidth="1"/>
    <col min="11271" max="11271" width="17.85546875" style="7" bestFit="1" customWidth="1"/>
    <col min="11272" max="11273" width="17.28515625" style="7" customWidth="1"/>
    <col min="11274" max="11274" width="15.5703125" style="7" bestFit="1" customWidth="1"/>
    <col min="11275" max="11275" width="10.28515625" style="7" bestFit="1" customWidth="1"/>
    <col min="11276" max="11276" width="10.5703125" style="7" bestFit="1" customWidth="1"/>
    <col min="11277" max="11277" width="13.28515625" style="7" bestFit="1" customWidth="1"/>
    <col min="11278" max="11278" width="17.7109375" style="7" customWidth="1"/>
    <col min="11279" max="11279" width="18.85546875" style="7" customWidth="1"/>
    <col min="11280" max="11520" width="11.42578125" style="7"/>
    <col min="11521" max="11521" width="38.28515625" style="7" customWidth="1"/>
    <col min="11522" max="11522" width="12.7109375" style="7" bestFit="1" customWidth="1"/>
    <col min="11523" max="11524" width="9.42578125" style="7" bestFit="1" customWidth="1"/>
    <col min="11525" max="11526" width="11.28515625" style="7" customWidth="1"/>
    <col min="11527" max="11527" width="17.85546875" style="7" bestFit="1" customWidth="1"/>
    <col min="11528" max="11529" width="17.28515625" style="7" customWidth="1"/>
    <col min="11530" max="11530" width="15.5703125" style="7" bestFit="1" customWidth="1"/>
    <col min="11531" max="11531" width="10.28515625" style="7" bestFit="1" customWidth="1"/>
    <col min="11532" max="11532" width="10.5703125" style="7" bestFit="1" customWidth="1"/>
    <col min="11533" max="11533" width="13.28515625" style="7" bestFit="1" customWidth="1"/>
    <col min="11534" max="11534" width="17.7109375" style="7" customWidth="1"/>
    <col min="11535" max="11535" width="18.85546875" style="7" customWidth="1"/>
    <col min="11536" max="11776" width="11.42578125" style="7"/>
    <col min="11777" max="11777" width="38.28515625" style="7" customWidth="1"/>
    <col min="11778" max="11778" width="12.7109375" style="7" bestFit="1" customWidth="1"/>
    <col min="11779" max="11780" width="9.42578125" style="7" bestFit="1" customWidth="1"/>
    <col min="11781" max="11782" width="11.28515625" style="7" customWidth="1"/>
    <col min="11783" max="11783" width="17.85546875" style="7" bestFit="1" customWidth="1"/>
    <col min="11784" max="11785" width="17.28515625" style="7" customWidth="1"/>
    <col min="11786" max="11786" width="15.5703125" style="7" bestFit="1" customWidth="1"/>
    <col min="11787" max="11787" width="10.28515625" style="7" bestFit="1" customWidth="1"/>
    <col min="11788" max="11788" width="10.5703125" style="7" bestFit="1" customWidth="1"/>
    <col min="11789" max="11789" width="13.28515625" style="7" bestFit="1" customWidth="1"/>
    <col min="11790" max="11790" width="17.7109375" style="7" customWidth="1"/>
    <col min="11791" max="11791" width="18.85546875" style="7" customWidth="1"/>
    <col min="11792" max="12032" width="11.42578125" style="7"/>
    <col min="12033" max="12033" width="38.28515625" style="7" customWidth="1"/>
    <col min="12034" max="12034" width="12.7109375" style="7" bestFit="1" customWidth="1"/>
    <col min="12035" max="12036" width="9.42578125" style="7" bestFit="1" customWidth="1"/>
    <col min="12037" max="12038" width="11.28515625" style="7" customWidth="1"/>
    <col min="12039" max="12039" width="17.85546875" style="7" bestFit="1" customWidth="1"/>
    <col min="12040" max="12041" width="17.28515625" style="7" customWidth="1"/>
    <col min="12042" max="12042" width="15.5703125" style="7" bestFit="1" customWidth="1"/>
    <col min="12043" max="12043" width="10.28515625" style="7" bestFit="1" customWidth="1"/>
    <col min="12044" max="12044" width="10.5703125" style="7" bestFit="1" customWidth="1"/>
    <col min="12045" max="12045" width="13.28515625" style="7" bestFit="1" customWidth="1"/>
    <col min="12046" max="12046" width="17.7109375" style="7" customWidth="1"/>
    <col min="12047" max="12047" width="18.85546875" style="7" customWidth="1"/>
    <col min="12048" max="12288" width="11.42578125" style="7"/>
    <col min="12289" max="12289" width="38.28515625" style="7" customWidth="1"/>
    <col min="12290" max="12290" width="12.7109375" style="7" bestFit="1" customWidth="1"/>
    <col min="12291" max="12292" width="9.42578125" style="7" bestFit="1" customWidth="1"/>
    <col min="12293" max="12294" width="11.28515625" style="7" customWidth="1"/>
    <col min="12295" max="12295" width="17.85546875" style="7" bestFit="1" customWidth="1"/>
    <col min="12296" max="12297" width="17.28515625" style="7" customWidth="1"/>
    <col min="12298" max="12298" width="15.5703125" style="7" bestFit="1" customWidth="1"/>
    <col min="12299" max="12299" width="10.28515625" style="7" bestFit="1" customWidth="1"/>
    <col min="12300" max="12300" width="10.5703125" style="7" bestFit="1" customWidth="1"/>
    <col min="12301" max="12301" width="13.28515625" style="7" bestFit="1" customWidth="1"/>
    <col min="12302" max="12302" width="17.7109375" style="7" customWidth="1"/>
    <col min="12303" max="12303" width="18.85546875" style="7" customWidth="1"/>
    <col min="12304" max="12544" width="11.42578125" style="7"/>
    <col min="12545" max="12545" width="38.28515625" style="7" customWidth="1"/>
    <col min="12546" max="12546" width="12.7109375" style="7" bestFit="1" customWidth="1"/>
    <col min="12547" max="12548" width="9.42578125" style="7" bestFit="1" customWidth="1"/>
    <col min="12549" max="12550" width="11.28515625" style="7" customWidth="1"/>
    <col min="12551" max="12551" width="17.85546875" style="7" bestFit="1" customWidth="1"/>
    <col min="12552" max="12553" width="17.28515625" style="7" customWidth="1"/>
    <col min="12554" max="12554" width="15.5703125" style="7" bestFit="1" customWidth="1"/>
    <col min="12555" max="12555" width="10.28515625" style="7" bestFit="1" customWidth="1"/>
    <col min="12556" max="12556" width="10.5703125" style="7" bestFit="1" customWidth="1"/>
    <col min="12557" max="12557" width="13.28515625" style="7" bestFit="1" customWidth="1"/>
    <col min="12558" max="12558" width="17.7109375" style="7" customWidth="1"/>
    <col min="12559" max="12559" width="18.85546875" style="7" customWidth="1"/>
    <col min="12560" max="12800" width="11.42578125" style="7"/>
    <col min="12801" max="12801" width="38.28515625" style="7" customWidth="1"/>
    <col min="12802" max="12802" width="12.7109375" style="7" bestFit="1" customWidth="1"/>
    <col min="12803" max="12804" width="9.42578125" style="7" bestFit="1" customWidth="1"/>
    <col min="12805" max="12806" width="11.28515625" style="7" customWidth="1"/>
    <col min="12807" max="12807" width="17.85546875" style="7" bestFit="1" customWidth="1"/>
    <col min="12808" max="12809" width="17.28515625" style="7" customWidth="1"/>
    <col min="12810" max="12810" width="15.5703125" style="7" bestFit="1" customWidth="1"/>
    <col min="12811" max="12811" width="10.28515625" style="7" bestFit="1" customWidth="1"/>
    <col min="12812" max="12812" width="10.5703125" style="7" bestFit="1" customWidth="1"/>
    <col min="12813" max="12813" width="13.28515625" style="7" bestFit="1" customWidth="1"/>
    <col min="12814" max="12814" width="17.7109375" style="7" customWidth="1"/>
    <col min="12815" max="12815" width="18.85546875" style="7" customWidth="1"/>
    <col min="12816" max="13056" width="11.42578125" style="7"/>
    <col min="13057" max="13057" width="38.28515625" style="7" customWidth="1"/>
    <col min="13058" max="13058" width="12.7109375" style="7" bestFit="1" customWidth="1"/>
    <col min="13059" max="13060" width="9.42578125" style="7" bestFit="1" customWidth="1"/>
    <col min="13061" max="13062" width="11.28515625" style="7" customWidth="1"/>
    <col min="13063" max="13063" width="17.85546875" style="7" bestFit="1" customWidth="1"/>
    <col min="13064" max="13065" width="17.28515625" style="7" customWidth="1"/>
    <col min="13066" max="13066" width="15.5703125" style="7" bestFit="1" customWidth="1"/>
    <col min="13067" max="13067" width="10.28515625" style="7" bestFit="1" customWidth="1"/>
    <col min="13068" max="13068" width="10.5703125" style="7" bestFit="1" customWidth="1"/>
    <col min="13069" max="13069" width="13.28515625" style="7" bestFit="1" customWidth="1"/>
    <col min="13070" max="13070" width="17.7109375" style="7" customWidth="1"/>
    <col min="13071" max="13071" width="18.85546875" style="7" customWidth="1"/>
    <col min="13072" max="13312" width="11.42578125" style="7"/>
    <col min="13313" max="13313" width="38.28515625" style="7" customWidth="1"/>
    <col min="13314" max="13314" width="12.7109375" style="7" bestFit="1" customWidth="1"/>
    <col min="13315" max="13316" width="9.42578125" style="7" bestFit="1" customWidth="1"/>
    <col min="13317" max="13318" width="11.28515625" style="7" customWidth="1"/>
    <col min="13319" max="13319" width="17.85546875" style="7" bestFit="1" customWidth="1"/>
    <col min="13320" max="13321" width="17.28515625" style="7" customWidth="1"/>
    <col min="13322" max="13322" width="15.5703125" style="7" bestFit="1" customWidth="1"/>
    <col min="13323" max="13323" width="10.28515625" style="7" bestFit="1" customWidth="1"/>
    <col min="13324" max="13324" width="10.5703125" style="7" bestFit="1" customWidth="1"/>
    <col min="13325" max="13325" width="13.28515625" style="7" bestFit="1" customWidth="1"/>
    <col min="13326" max="13326" width="17.7109375" style="7" customWidth="1"/>
    <col min="13327" max="13327" width="18.85546875" style="7" customWidth="1"/>
    <col min="13328" max="13568" width="11.42578125" style="7"/>
    <col min="13569" max="13569" width="38.28515625" style="7" customWidth="1"/>
    <col min="13570" max="13570" width="12.7109375" style="7" bestFit="1" customWidth="1"/>
    <col min="13571" max="13572" width="9.42578125" style="7" bestFit="1" customWidth="1"/>
    <col min="13573" max="13574" width="11.28515625" style="7" customWidth="1"/>
    <col min="13575" max="13575" width="17.85546875" style="7" bestFit="1" customWidth="1"/>
    <col min="13576" max="13577" width="17.28515625" style="7" customWidth="1"/>
    <col min="13578" max="13578" width="15.5703125" style="7" bestFit="1" customWidth="1"/>
    <col min="13579" max="13579" width="10.28515625" style="7" bestFit="1" customWidth="1"/>
    <col min="13580" max="13580" width="10.5703125" style="7" bestFit="1" customWidth="1"/>
    <col min="13581" max="13581" width="13.28515625" style="7" bestFit="1" customWidth="1"/>
    <col min="13582" max="13582" width="17.7109375" style="7" customWidth="1"/>
    <col min="13583" max="13583" width="18.85546875" style="7" customWidth="1"/>
    <col min="13584" max="13824" width="11.42578125" style="7"/>
    <col min="13825" max="13825" width="38.28515625" style="7" customWidth="1"/>
    <col min="13826" max="13826" width="12.7109375" style="7" bestFit="1" customWidth="1"/>
    <col min="13827" max="13828" width="9.42578125" style="7" bestFit="1" customWidth="1"/>
    <col min="13829" max="13830" width="11.28515625" style="7" customWidth="1"/>
    <col min="13831" max="13831" width="17.85546875" style="7" bestFit="1" customWidth="1"/>
    <col min="13832" max="13833" width="17.28515625" style="7" customWidth="1"/>
    <col min="13834" max="13834" width="15.5703125" style="7" bestFit="1" customWidth="1"/>
    <col min="13835" max="13835" width="10.28515625" style="7" bestFit="1" customWidth="1"/>
    <col min="13836" max="13836" width="10.5703125" style="7" bestFit="1" customWidth="1"/>
    <col min="13837" max="13837" width="13.28515625" style="7" bestFit="1" customWidth="1"/>
    <col min="13838" max="13838" width="17.7109375" style="7" customWidth="1"/>
    <col min="13839" max="13839" width="18.85546875" style="7" customWidth="1"/>
    <col min="13840" max="14080" width="11.42578125" style="7"/>
    <col min="14081" max="14081" width="38.28515625" style="7" customWidth="1"/>
    <col min="14082" max="14082" width="12.7109375" style="7" bestFit="1" customWidth="1"/>
    <col min="14083" max="14084" width="9.42578125" style="7" bestFit="1" customWidth="1"/>
    <col min="14085" max="14086" width="11.28515625" style="7" customWidth="1"/>
    <col min="14087" max="14087" width="17.85546875" style="7" bestFit="1" customWidth="1"/>
    <col min="14088" max="14089" width="17.28515625" style="7" customWidth="1"/>
    <col min="14090" max="14090" width="15.5703125" style="7" bestFit="1" customWidth="1"/>
    <col min="14091" max="14091" width="10.28515625" style="7" bestFit="1" customWidth="1"/>
    <col min="14092" max="14092" width="10.5703125" style="7" bestFit="1" customWidth="1"/>
    <col min="14093" max="14093" width="13.28515625" style="7" bestFit="1" customWidth="1"/>
    <col min="14094" max="14094" width="17.7109375" style="7" customWidth="1"/>
    <col min="14095" max="14095" width="18.85546875" style="7" customWidth="1"/>
    <col min="14096" max="14336" width="11.42578125" style="7"/>
    <col min="14337" max="14337" width="38.28515625" style="7" customWidth="1"/>
    <col min="14338" max="14338" width="12.7109375" style="7" bestFit="1" customWidth="1"/>
    <col min="14339" max="14340" width="9.42578125" style="7" bestFit="1" customWidth="1"/>
    <col min="14341" max="14342" width="11.28515625" style="7" customWidth="1"/>
    <col min="14343" max="14343" width="17.85546875" style="7" bestFit="1" customWidth="1"/>
    <col min="14344" max="14345" width="17.28515625" style="7" customWidth="1"/>
    <col min="14346" max="14346" width="15.5703125" style="7" bestFit="1" customWidth="1"/>
    <col min="14347" max="14347" width="10.28515625" style="7" bestFit="1" customWidth="1"/>
    <col min="14348" max="14348" width="10.5703125" style="7" bestFit="1" customWidth="1"/>
    <col min="14349" max="14349" width="13.28515625" style="7" bestFit="1" customWidth="1"/>
    <col min="14350" max="14350" width="17.7109375" style="7" customWidth="1"/>
    <col min="14351" max="14351" width="18.85546875" style="7" customWidth="1"/>
    <col min="14352" max="14592" width="11.42578125" style="7"/>
    <col min="14593" max="14593" width="38.28515625" style="7" customWidth="1"/>
    <col min="14594" max="14594" width="12.7109375" style="7" bestFit="1" customWidth="1"/>
    <col min="14595" max="14596" width="9.42578125" style="7" bestFit="1" customWidth="1"/>
    <col min="14597" max="14598" width="11.28515625" style="7" customWidth="1"/>
    <col min="14599" max="14599" width="17.85546875" style="7" bestFit="1" customWidth="1"/>
    <col min="14600" max="14601" width="17.28515625" style="7" customWidth="1"/>
    <col min="14602" max="14602" width="15.5703125" style="7" bestFit="1" customWidth="1"/>
    <col min="14603" max="14603" width="10.28515625" style="7" bestFit="1" customWidth="1"/>
    <col min="14604" max="14604" width="10.5703125" style="7" bestFit="1" customWidth="1"/>
    <col min="14605" max="14605" width="13.28515625" style="7" bestFit="1" customWidth="1"/>
    <col min="14606" max="14606" width="17.7109375" style="7" customWidth="1"/>
    <col min="14607" max="14607" width="18.85546875" style="7" customWidth="1"/>
    <col min="14608" max="14848" width="11.42578125" style="7"/>
    <col min="14849" max="14849" width="38.28515625" style="7" customWidth="1"/>
    <col min="14850" max="14850" width="12.7109375" style="7" bestFit="1" customWidth="1"/>
    <col min="14851" max="14852" width="9.42578125" style="7" bestFit="1" customWidth="1"/>
    <col min="14853" max="14854" width="11.28515625" style="7" customWidth="1"/>
    <col min="14855" max="14855" width="17.85546875" style="7" bestFit="1" customWidth="1"/>
    <col min="14856" max="14857" width="17.28515625" style="7" customWidth="1"/>
    <col min="14858" max="14858" width="15.5703125" style="7" bestFit="1" customWidth="1"/>
    <col min="14859" max="14859" width="10.28515625" style="7" bestFit="1" customWidth="1"/>
    <col min="14860" max="14860" width="10.5703125" style="7" bestFit="1" customWidth="1"/>
    <col min="14861" max="14861" width="13.28515625" style="7" bestFit="1" customWidth="1"/>
    <col min="14862" max="14862" width="17.7109375" style="7" customWidth="1"/>
    <col min="14863" max="14863" width="18.85546875" style="7" customWidth="1"/>
    <col min="14864" max="15104" width="11.42578125" style="7"/>
    <col min="15105" max="15105" width="38.28515625" style="7" customWidth="1"/>
    <col min="15106" max="15106" width="12.7109375" style="7" bestFit="1" customWidth="1"/>
    <col min="15107" max="15108" width="9.42578125" style="7" bestFit="1" customWidth="1"/>
    <col min="15109" max="15110" width="11.28515625" style="7" customWidth="1"/>
    <col min="15111" max="15111" width="17.85546875" style="7" bestFit="1" customWidth="1"/>
    <col min="15112" max="15113" width="17.28515625" style="7" customWidth="1"/>
    <col min="15114" max="15114" width="15.5703125" style="7" bestFit="1" customWidth="1"/>
    <col min="15115" max="15115" width="10.28515625" style="7" bestFit="1" customWidth="1"/>
    <col min="15116" max="15116" width="10.5703125" style="7" bestFit="1" customWidth="1"/>
    <col min="15117" max="15117" width="13.28515625" style="7" bestFit="1" customWidth="1"/>
    <col min="15118" max="15118" width="17.7109375" style="7" customWidth="1"/>
    <col min="15119" max="15119" width="18.85546875" style="7" customWidth="1"/>
    <col min="15120" max="15360" width="11.42578125" style="7"/>
    <col min="15361" max="15361" width="38.28515625" style="7" customWidth="1"/>
    <col min="15362" max="15362" width="12.7109375" style="7" bestFit="1" customWidth="1"/>
    <col min="15363" max="15364" width="9.42578125" style="7" bestFit="1" customWidth="1"/>
    <col min="15365" max="15366" width="11.28515625" style="7" customWidth="1"/>
    <col min="15367" max="15367" width="17.85546875" style="7" bestFit="1" customWidth="1"/>
    <col min="15368" max="15369" width="17.28515625" style="7" customWidth="1"/>
    <col min="15370" max="15370" width="15.5703125" style="7" bestFit="1" customWidth="1"/>
    <col min="15371" max="15371" width="10.28515625" style="7" bestFit="1" customWidth="1"/>
    <col min="15372" max="15372" width="10.5703125" style="7" bestFit="1" customWidth="1"/>
    <col min="15373" max="15373" width="13.28515625" style="7" bestFit="1" customWidth="1"/>
    <col min="15374" max="15374" width="17.7109375" style="7" customWidth="1"/>
    <col min="15375" max="15375" width="18.85546875" style="7" customWidth="1"/>
    <col min="15376" max="15616" width="11.42578125" style="7"/>
    <col min="15617" max="15617" width="38.28515625" style="7" customWidth="1"/>
    <col min="15618" max="15618" width="12.7109375" style="7" bestFit="1" customWidth="1"/>
    <col min="15619" max="15620" width="9.42578125" style="7" bestFit="1" customWidth="1"/>
    <col min="15621" max="15622" width="11.28515625" style="7" customWidth="1"/>
    <col min="15623" max="15623" width="17.85546875" style="7" bestFit="1" customWidth="1"/>
    <col min="15624" max="15625" width="17.28515625" style="7" customWidth="1"/>
    <col min="15626" max="15626" width="15.5703125" style="7" bestFit="1" customWidth="1"/>
    <col min="15627" max="15627" width="10.28515625" style="7" bestFit="1" customWidth="1"/>
    <col min="15628" max="15628" width="10.5703125" style="7" bestFit="1" customWidth="1"/>
    <col min="15629" max="15629" width="13.28515625" style="7" bestFit="1" customWidth="1"/>
    <col min="15630" max="15630" width="17.7109375" style="7" customWidth="1"/>
    <col min="15631" max="15631" width="18.85546875" style="7" customWidth="1"/>
    <col min="15632" max="15872" width="11.42578125" style="7"/>
    <col min="15873" max="15873" width="38.28515625" style="7" customWidth="1"/>
    <col min="15874" max="15874" width="12.7109375" style="7" bestFit="1" customWidth="1"/>
    <col min="15875" max="15876" width="9.42578125" style="7" bestFit="1" customWidth="1"/>
    <col min="15877" max="15878" width="11.28515625" style="7" customWidth="1"/>
    <col min="15879" max="15879" width="17.85546875" style="7" bestFit="1" customWidth="1"/>
    <col min="15880" max="15881" width="17.28515625" style="7" customWidth="1"/>
    <col min="15882" max="15882" width="15.5703125" style="7" bestFit="1" customWidth="1"/>
    <col min="15883" max="15883" width="10.28515625" style="7" bestFit="1" customWidth="1"/>
    <col min="15884" max="15884" width="10.5703125" style="7" bestFit="1" customWidth="1"/>
    <col min="15885" max="15885" width="13.28515625" style="7" bestFit="1" customWidth="1"/>
    <col min="15886" max="15886" width="17.7109375" style="7" customWidth="1"/>
    <col min="15887" max="15887" width="18.85546875" style="7" customWidth="1"/>
    <col min="15888" max="16128" width="11.42578125" style="7"/>
    <col min="16129" max="16129" width="38.28515625" style="7" customWidth="1"/>
    <col min="16130" max="16130" width="12.7109375" style="7" bestFit="1" customWidth="1"/>
    <col min="16131" max="16132" width="9.42578125" style="7" bestFit="1" customWidth="1"/>
    <col min="16133" max="16134" width="11.28515625" style="7" customWidth="1"/>
    <col min="16135" max="16135" width="17.85546875" style="7" bestFit="1" customWidth="1"/>
    <col min="16136" max="16137" width="17.28515625" style="7" customWidth="1"/>
    <col min="16138" max="16138" width="15.5703125" style="7" bestFit="1" customWidth="1"/>
    <col min="16139" max="16139" width="10.28515625" style="7" bestFit="1" customWidth="1"/>
    <col min="16140" max="16140" width="10.5703125" style="7" bestFit="1" customWidth="1"/>
    <col min="16141" max="16141" width="13.28515625" style="7" bestFit="1" customWidth="1"/>
    <col min="16142" max="16142" width="17.7109375" style="7" customWidth="1"/>
    <col min="16143" max="16143" width="18.85546875" style="7" customWidth="1"/>
    <col min="16144" max="16384" width="11.42578125" style="7"/>
  </cols>
  <sheetData>
    <row r="1" spans="1:32" ht="15" x14ac:dyDescent="0.2">
      <c r="A1" s="8"/>
      <c r="B1" s="119"/>
      <c r="C1" s="119"/>
      <c r="D1" s="119"/>
      <c r="E1" s="119"/>
      <c r="F1" s="119"/>
      <c r="G1" s="119"/>
      <c r="H1" s="119"/>
      <c r="I1" s="119"/>
      <c r="J1" s="119"/>
      <c r="K1" s="171"/>
      <c r="L1" s="119"/>
      <c r="M1" s="119"/>
      <c r="N1" s="119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</row>
    <row r="2" spans="1:32" s="165" customFormat="1" ht="30" x14ac:dyDescent="0.25">
      <c r="A2" s="158" t="s">
        <v>176</v>
      </c>
      <c r="B2" s="158" t="s">
        <v>177</v>
      </c>
      <c r="C2" s="158" t="s">
        <v>179</v>
      </c>
      <c r="D2" s="158" t="s">
        <v>251</v>
      </c>
      <c r="E2" s="158" t="s">
        <v>252</v>
      </c>
      <c r="F2" s="158" t="s">
        <v>247</v>
      </c>
      <c r="G2" s="159" t="s">
        <v>70</v>
      </c>
      <c r="H2" s="159" t="s">
        <v>182</v>
      </c>
      <c r="I2" s="159" t="s">
        <v>183</v>
      </c>
      <c r="J2" s="158" t="s">
        <v>179</v>
      </c>
      <c r="K2" s="172" t="s">
        <v>184</v>
      </c>
      <c r="L2" s="158" t="s">
        <v>177</v>
      </c>
      <c r="M2" s="159"/>
      <c r="N2" s="159"/>
      <c r="O2" s="160"/>
      <c r="P2" s="161"/>
      <c r="Q2" s="162"/>
      <c r="R2" s="163"/>
      <c r="S2" s="163"/>
      <c r="T2" s="163"/>
      <c r="U2" s="163"/>
      <c r="V2" s="163"/>
      <c r="W2" s="161"/>
      <c r="X2" s="162"/>
      <c r="Y2" s="163"/>
      <c r="Z2" s="164"/>
      <c r="AA2" s="164"/>
      <c r="AB2" s="164"/>
      <c r="AC2" s="164"/>
      <c r="AD2" s="164"/>
    </row>
    <row r="3" spans="1:32" s="165" customFormat="1" ht="15" x14ac:dyDescent="0.25">
      <c r="A3" s="158" t="s">
        <v>253</v>
      </c>
      <c r="B3" s="158"/>
      <c r="C3" s="158" t="s">
        <v>186</v>
      </c>
      <c r="D3" s="158" t="s">
        <v>186</v>
      </c>
      <c r="E3" s="158"/>
      <c r="F3" s="158" t="s">
        <v>186</v>
      </c>
      <c r="G3" s="158" t="s">
        <v>188</v>
      </c>
      <c r="H3" s="158" t="s">
        <v>187</v>
      </c>
      <c r="I3" s="158" t="s">
        <v>187</v>
      </c>
      <c r="J3" s="158" t="s">
        <v>189</v>
      </c>
      <c r="K3" s="172" t="s">
        <v>190</v>
      </c>
      <c r="L3" s="158" t="s">
        <v>191</v>
      </c>
      <c r="M3" s="158" t="s">
        <v>250</v>
      </c>
      <c r="N3" s="158" t="s">
        <v>192</v>
      </c>
      <c r="O3" s="160"/>
      <c r="P3" s="161"/>
      <c r="Q3" s="162"/>
      <c r="R3" s="163"/>
      <c r="S3" s="163"/>
      <c r="T3" s="163"/>
      <c r="U3" s="163"/>
      <c r="V3" s="163"/>
      <c r="W3" s="161"/>
      <c r="X3" s="162"/>
      <c r="Y3" s="163"/>
      <c r="Z3" s="164"/>
      <c r="AA3" s="164"/>
      <c r="AB3" s="164"/>
      <c r="AC3" s="164"/>
      <c r="AD3" s="164"/>
    </row>
    <row r="4" spans="1:32" s="165" customFormat="1" ht="15" x14ac:dyDescent="0.25">
      <c r="A4" s="158"/>
      <c r="B4" s="158"/>
      <c r="C4" s="158"/>
      <c r="D4" s="158"/>
      <c r="E4" s="158"/>
      <c r="F4" s="158"/>
      <c r="G4" s="158"/>
      <c r="H4" s="158"/>
      <c r="I4" s="158"/>
      <c r="J4" s="158"/>
      <c r="K4" s="172"/>
      <c r="L4" s="158"/>
      <c r="M4" s="158" t="s">
        <v>196</v>
      </c>
      <c r="N4" s="158" t="s">
        <v>196</v>
      </c>
      <c r="O4" s="160"/>
      <c r="P4" s="161"/>
      <c r="Q4" s="162"/>
      <c r="R4" s="163"/>
      <c r="S4" s="163"/>
      <c r="T4" s="163"/>
      <c r="U4" s="163"/>
      <c r="V4" s="163"/>
      <c r="W4" s="161"/>
      <c r="X4" s="162"/>
      <c r="Y4" s="163"/>
      <c r="Z4" s="164"/>
      <c r="AA4" s="164"/>
      <c r="AB4" s="164"/>
      <c r="AC4" s="164"/>
      <c r="AD4" s="164"/>
    </row>
    <row r="5" spans="1:32" s="121" customFormat="1" ht="15" x14ac:dyDescent="0.25">
      <c r="A5" s="280"/>
      <c r="B5" s="288"/>
      <c r="C5" s="295"/>
      <c r="D5" s="295"/>
      <c r="E5" s="295"/>
      <c r="F5" s="295"/>
      <c r="G5" s="292">
        <f>C5*D5*2</f>
        <v>0</v>
      </c>
      <c r="H5" s="292"/>
      <c r="I5" s="292">
        <f>C5*D5*F5</f>
        <v>0</v>
      </c>
      <c r="J5" s="123"/>
      <c r="K5" s="124"/>
      <c r="L5" s="124">
        <f>C5/0.2</f>
        <v>0</v>
      </c>
      <c r="M5" s="123" t="str">
        <f>+IF(K5=4,J5*L5*0.668,"")</f>
        <v/>
      </c>
      <c r="N5" s="123" t="str">
        <f>+IF(K5=5,J5*L5*1.034,"")</f>
        <v/>
      </c>
      <c r="O5" s="115"/>
      <c r="P5" s="116"/>
      <c r="Q5" s="117"/>
      <c r="R5" s="118"/>
      <c r="S5" s="118"/>
      <c r="T5" s="115"/>
      <c r="U5" s="115"/>
      <c r="V5" s="115"/>
      <c r="W5" s="116"/>
      <c r="X5" s="117"/>
      <c r="Y5" s="118"/>
      <c r="Z5" s="119"/>
      <c r="AA5" s="119"/>
      <c r="AB5" s="119"/>
      <c r="AC5" s="119"/>
      <c r="AD5" s="119"/>
      <c r="AE5" s="120"/>
      <c r="AF5" s="120"/>
    </row>
    <row r="6" spans="1:32" s="121" customFormat="1" ht="15" x14ac:dyDescent="0.25">
      <c r="A6" s="280"/>
      <c r="B6" s="289"/>
      <c r="C6" s="296"/>
      <c r="D6" s="296"/>
      <c r="E6" s="296"/>
      <c r="F6" s="296"/>
      <c r="G6" s="293"/>
      <c r="H6" s="293"/>
      <c r="I6" s="293"/>
      <c r="J6" s="123"/>
      <c r="K6" s="124"/>
      <c r="L6" s="124">
        <f>D5/0.2</f>
        <v>0</v>
      </c>
      <c r="M6" s="123" t="str">
        <f>+IF(K6=4,J6*L6*0.668,"")</f>
        <v/>
      </c>
      <c r="N6" s="123" t="str">
        <f>+IF(K6=5,J6*L6*1.034,"")</f>
        <v/>
      </c>
      <c r="O6" s="115"/>
      <c r="P6" s="116"/>
      <c r="Q6" s="117"/>
      <c r="R6" s="118"/>
      <c r="S6" s="118"/>
      <c r="T6" s="115"/>
      <c r="U6" s="115"/>
      <c r="V6" s="115"/>
      <c r="W6" s="116"/>
      <c r="X6" s="117"/>
      <c r="Y6" s="118"/>
      <c r="Z6" s="119"/>
      <c r="AA6" s="119"/>
      <c r="AB6" s="119"/>
      <c r="AC6" s="119"/>
      <c r="AD6" s="119"/>
      <c r="AE6" s="120"/>
      <c r="AF6" s="120"/>
    </row>
    <row r="7" spans="1:32" s="121" customFormat="1" ht="15" x14ac:dyDescent="0.25">
      <c r="A7" s="280"/>
      <c r="B7" s="289"/>
      <c r="C7" s="296"/>
      <c r="D7" s="296"/>
      <c r="E7" s="296"/>
      <c r="F7" s="296"/>
      <c r="G7" s="293"/>
      <c r="H7" s="293"/>
      <c r="I7" s="293"/>
      <c r="J7" s="123"/>
      <c r="K7" s="124"/>
      <c r="L7" s="124">
        <f>C5/0.2</f>
        <v>0</v>
      </c>
      <c r="M7" s="123" t="str">
        <f>+IF(K7=4,J7*L7*0.668,"")</f>
        <v/>
      </c>
      <c r="N7" s="123" t="str">
        <f>+IF(K7=5,J7*L7*1.034,"")</f>
        <v/>
      </c>
      <c r="O7" s="115"/>
      <c r="P7" s="116"/>
      <c r="Q7" s="117"/>
      <c r="R7" s="118"/>
      <c r="S7" s="118"/>
      <c r="T7" s="115"/>
      <c r="U7" s="115"/>
      <c r="V7" s="115"/>
      <c r="W7" s="116"/>
      <c r="X7" s="117"/>
      <c r="Y7" s="118"/>
      <c r="Z7" s="119"/>
      <c r="AA7" s="119"/>
      <c r="AB7" s="119"/>
      <c r="AC7" s="119"/>
      <c r="AD7" s="119"/>
      <c r="AE7" s="120"/>
      <c r="AF7" s="120"/>
    </row>
    <row r="8" spans="1:32" s="121" customFormat="1" ht="15" x14ac:dyDescent="0.25">
      <c r="A8" s="280"/>
      <c r="B8" s="290"/>
      <c r="C8" s="297"/>
      <c r="D8" s="297"/>
      <c r="E8" s="297"/>
      <c r="F8" s="297"/>
      <c r="G8" s="294"/>
      <c r="H8" s="294"/>
      <c r="I8" s="294"/>
      <c r="J8" s="123"/>
      <c r="K8" s="124"/>
      <c r="L8" s="124">
        <f>D5/0.2</f>
        <v>0</v>
      </c>
      <c r="M8" s="123" t="str">
        <f>+IF(K8=4,J8*L8*0.668,"")</f>
        <v/>
      </c>
      <c r="N8" s="123" t="str">
        <f>+IF(K8=5,J8*L8*1.034,"")</f>
        <v/>
      </c>
      <c r="O8" s="115"/>
      <c r="P8" s="116"/>
      <c r="Q8" s="117"/>
      <c r="R8" s="118"/>
      <c r="S8" s="118"/>
      <c r="T8" s="115"/>
      <c r="U8" s="115"/>
      <c r="V8" s="115"/>
      <c r="W8" s="116"/>
      <c r="X8" s="117"/>
      <c r="Y8" s="118"/>
      <c r="Z8" s="119"/>
      <c r="AA8" s="119"/>
      <c r="AB8" s="119"/>
      <c r="AC8" s="119"/>
      <c r="AD8" s="119"/>
      <c r="AE8" s="120"/>
      <c r="AF8" s="120"/>
    </row>
    <row r="9" spans="1:32" ht="15.75" x14ac:dyDescent="0.2">
      <c r="A9" s="110"/>
      <c r="B9" s="119"/>
      <c r="C9" s="119"/>
      <c r="D9" s="119"/>
      <c r="E9" s="119"/>
      <c r="F9" s="119"/>
      <c r="G9" s="173">
        <f>SUM(G5:G8)</f>
        <v>0</v>
      </c>
      <c r="H9" s="173">
        <f>SUM(H5:H8)</f>
        <v>0</v>
      </c>
      <c r="I9" s="173">
        <f>SUM(I5:I8)</f>
        <v>0</v>
      </c>
      <c r="J9" s="174"/>
      <c r="K9" s="171"/>
      <c r="L9" s="174"/>
      <c r="M9" s="173">
        <f>SUM(M5:M8)</f>
        <v>0</v>
      </c>
      <c r="N9" s="173">
        <f>SUM(N5:N8)</f>
        <v>0</v>
      </c>
      <c r="O9" s="109"/>
      <c r="P9" s="106"/>
      <c r="Q9" s="107"/>
      <c r="R9" s="108"/>
      <c r="S9" s="108"/>
      <c r="T9" s="109"/>
      <c r="U9" s="109"/>
      <c r="V9" s="109"/>
      <c r="W9" s="106"/>
      <c r="X9" s="107"/>
      <c r="Y9" s="108"/>
      <c r="Z9" s="110"/>
      <c r="AA9" s="110"/>
      <c r="AB9" s="110"/>
      <c r="AC9" s="110"/>
      <c r="AD9" s="110"/>
      <c r="AE9" s="111"/>
      <c r="AF9" s="111"/>
    </row>
    <row r="10" spans="1:32" ht="15.75" x14ac:dyDescent="0.2">
      <c r="A10" s="131"/>
      <c r="B10" s="175"/>
      <c r="C10" s="175"/>
      <c r="D10" s="175"/>
      <c r="E10" s="175"/>
      <c r="F10" s="175"/>
      <c r="G10" s="176"/>
      <c r="H10" s="177"/>
      <c r="I10" s="177" t="s">
        <v>197</v>
      </c>
      <c r="J10" s="174"/>
      <c r="K10" s="116"/>
      <c r="L10" s="178"/>
      <c r="M10" s="115"/>
      <c r="N10" s="115"/>
      <c r="O10" s="109"/>
      <c r="P10" s="106"/>
      <c r="Q10" s="107"/>
      <c r="R10" s="108"/>
      <c r="S10" s="108"/>
      <c r="T10" s="109"/>
      <c r="U10" s="109"/>
      <c r="V10" s="109"/>
      <c r="W10" s="106"/>
      <c r="X10" s="107"/>
      <c r="Y10" s="108"/>
      <c r="Z10" s="110"/>
      <c r="AA10" s="110"/>
      <c r="AB10" s="110"/>
      <c r="AC10" s="110"/>
      <c r="AD10" s="110"/>
      <c r="AE10" s="111"/>
      <c r="AF10" s="111"/>
    </row>
    <row r="11" spans="1:32" x14ac:dyDescent="0.2">
      <c r="A11" s="179"/>
      <c r="G11" s="180"/>
      <c r="H11" s="180"/>
      <c r="I11" s="180"/>
      <c r="J11" s="180"/>
      <c r="K11" s="181"/>
      <c r="O11" s="139"/>
      <c r="P11" s="139"/>
      <c r="Q11" s="139"/>
      <c r="R11" s="139"/>
      <c r="S11" s="140"/>
      <c r="U11" s="141"/>
      <c r="V11" s="141"/>
      <c r="W11" s="142"/>
    </row>
    <row r="12" spans="1:32" ht="30" x14ac:dyDescent="0.2">
      <c r="A12" s="158" t="s">
        <v>254</v>
      </c>
      <c r="B12" s="158" t="s">
        <v>38</v>
      </c>
      <c r="C12" s="158" t="s">
        <v>179</v>
      </c>
      <c r="D12" s="158" t="s">
        <v>178</v>
      </c>
      <c r="E12" s="158" t="s">
        <v>252</v>
      </c>
      <c r="F12" s="158" t="s">
        <v>247</v>
      </c>
      <c r="G12" s="159" t="s">
        <v>70</v>
      </c>
      <c r="H12" s="159" t="s">
        <v>182</v>
      </c>
      <c r="I12" s="159" t="s">
        <v>183</v>
      </c>
      <c r="J12" s="158" t="s">
        <v>179</v>
      </c>
      <c r="K12" s="172" t="s">
        <v>184</v>
      </c>
      <c r="L12" s="158" t="s">
        <v>177</v>
      </c>
      <c r="M12" s="158" t="s">
        <v>250</v>
      </c>
      <c r="N12" s="158" t="s">
        <v>193</v>
      </c>
      <c r="O12" s="139"/>
      <c r="P12" s="139"/>
      <c r="Q12" s="139"/>
      <c r="R12" s="139"/>
      <c r="S12" s="140"/>
      <c r="U12" s="141"/>
      <c r="V12" s="141"/>
      <c r="W12" s="142"/>
    </row>
    <row r="13" spans="1:32" ht="15" x14ac:dyDescent="0.2">
      <c r="A13" s="102"/>
      <c r="B13" s="182" t="s">
        <v>191</v>
      </c>
      <c r="C13" s="182" t="s">
        <v>208</v>
      </c>
      <c r="D13" s="182" t="s">
        <v>208</v>
      </c>
      <c r="E13" s="182" t="s">
        <v>208</v>
      </c>
      <c r="F13" s="182" t="s">
        <v>208</v>
      </c>
      <c r="G13" s="182" t="s">
        <v>59</v>
      </c>
      <c r="H13" s="182" t="s">
        <v>59</v>
      </c>
      <c r="I13" s="182" t="s">
        <v>59</v>
      </c>
      <c r="J13" s="158" t="s">
        <v>189</v>
      </c>
      <c r="K13" s="172" t="s">
        <v>190</v>
      </c>
      <c r="L13" s="158" t="s">
        <v>191</v>
      </c>
      <c r="M13" s="158" t="s">
        <v>196</v>
      </c>
      <c r="N13" s="158" t="s">
        <v>196</v>
      </c>
      <c r="O13" s="144"/>
      <c r="P13" s="144"/>
      <c r="Q13" s="144"/>
      <c r="R13" s="144"/>
      <c r="S13" s="145"/>
      <c r="T13" s="143"/>
      <c r="U13" s="146"/>
      <c r="V13" s="146"/>
      <c r="W13" s="143"/>
      <c r="X13" s="143"/>
    </row>
    <row r="14" spans="1:32" ht="15" x14ac:dyDescent="0.2">
      <c r="A14" s="295"/>
      <c r="B14" s="298"/>
      <c r="C14" s="301"/>
      <c r="D14" s="301"/>
      <c r="E14" s="301"/>
      <c r="F14" s="301"/>
      <c r="G14" s="292">
        <f>(D14+D14+C14+C14)*F14</f>
        <v>0</v>
      </c>
      <c r="H14" s="292">
        <f>C14*D14*E14</f>
        <v>0</v>
      </c>
      <c r="I14" s="292">
        <f>C14*D14*F14</f>
        <v>0</v>
      </c>
      <c r="J14" s="113"/>
      <c r="K14" s="114"/>
      <c r="L14" s="113">
        <f>D14/0.25</f>
        <v>0</v>
      </c>
      <c r="M14" s="123" t="str">
        <f>+IF(K14=4,J14*L14*0.668,"")</f>
        <v/>
      </c>
      <c r="N14" s="123" t="str">
        <f>+IF(K14=6,J14*L14*1.503,"")</f>
        <v/>
      </c>
      <c r="O14" s="139"/>
      <c r="P14" s="139"/>
      <c r="Q14" s="139"/>
      <c r="R14" s="139"/>
      <c r="S14" s="140"/>
      <c r="U14" s="141"/>
      <c r="V14" s="141"/>
    </row>
    <row r="15" spans="1:32" ht="15" x14ac:dyDescent="0.2">
      <c r="A15" s="296"/>
      <c r="B15" s="299"/>
      <c r="C15" s="302"/>
      <c r="D15" s="302"/>
      <c r="E15" s="302"/>
      <c r="F15" s="302"/>
      <c r="G15" s="293"/>
      <c r="H15" s="293"/>
      <c r="I15" s="293"/>
      <c r="J15" s="113"/>
      <c r="K15" s="114"/>
      <c r="L15" s="113">
        <f>C14/0.25</f>
        <v>0</v>
      </c>
      <c r="M15" s="123" t="str">
        <f t="shared" ref="M15:M21" si="0">+IF(K15=4,J15*L15*0.668,"")</f>
        <v/>
      </c>
      <c r="N15" s="123" t="str">
        <f t="shared" ref="N15:N21" si="1">+IF(K15=6,J15*L15*1.503,"")</f>
        <v/>
      </c>
      <c r="O15" s="139"/>
      <c r="P15" s="139"/>
      <c r="Q15" s="139"/>
      <c r="R15" s="139"/>
      <c r="S15" s="140"/>
      <c r="U15" s="141"/>
      <c r="V15" s="141"/>
    </row>
    <row r="16" spans="1:32" ht="15" x14ac:dyDescent="0.2">
      <c r="A16" s="296"/>
      <c r="B16" s="299"/>
      <c r="C16" s="302"/>
      <c r="D16" s="302"/>
      <c r="E16" s="302"/>
      <c r="F16" s="302"/>
      <c r="G16" s="293"/>
      <c r="H16" s="293"/>
      <c r="I16" s="293"/>
      <c r="J16" s="113"/>
      <c r="K16" s="114"/>
      <c r="L16" s="113">
        <f>D14/0.25</f>
        <v>0</v>
      </c>
      <c r="M16" s="123" t="str">
        <f t="shared" si="0"/>
        <v/>
      </c>
      <c r="N16" s="123" t="str">
        <f t="shared" si="1"/>
        <v/>
      </c>
      <c r="O16" s="139"/>
      <c r="P16" s="139"/>
      <c r="Q16" s="139"/>
      <c r="R16" s="139"/>
      <c r="S16" s="140"/>
      <c r="U16" s="141"/>
      <c r="V16" s="141"/>
    </row>
    <row r="17" spans="1:22" ht="15" x14ac:dyDescent="0.2">
      <c r="A17" s="297"/>
      <c r="B17" s="300"/>
      <c r="C17" s="303"/>
      <c r="D17" s="303"/>
      <c r="E17" s="303"/>
      <c r="F17" s="303"/>
      <c r="G17" s="294"/>
      <c r="H17" s="294"/>
      <c r="I17" s="294"/>
      <c r="J17" s="113"/>
      <c r="K17" s="114"/>
      <c r="L17" s="113">
        <f>C14/0.25</f>
        <v>0</v>
      </c>
      <c r="M17" s="123" t="str">
        <f t="shared" si="0"/>
        <v/>
      </c>
      <c r="N17" s="123" t="str">
        <f t="shared" si="1"/>
        <v/>
      </c>
      <c r="O17" s="139"/>
      <c r="P17" s="139"/>
      <c r="Q17" s="139"/>
      <c r="R17" s="139"/>
      <c r="S17" s="140"/>
      <c r="U17" s="141"/>
      <c r="V17" s="141"/>
    </row>
    <row r="18" spans="1:22" ht="15" x14ac:dyDescent="0.2">
      <c r="A18" s="295"/>
      <c r="B18" s="298"/>
      <c r="C18" s="301"/>
      <c r="D18" s="301"/>
      <c r="E18" s="301"/>
      <c r="F18" s="301"/>
      <c r="G18" s="292">
        <f>C18*D18</f>
        <v>0</v>
      </c>
      <c r="H18" s="292"/>
      <c r="I18" s="292">
        <f>C18*D18*F18</f>
        <v>0</v>
      </c>
      <c r="J18" s="113"/>
      <c r="K18" s="114"/>
      <c r="L18" s="113">
        <f>D18/0.3</f>
        <v>0</v>
      </c>
      <c r="M18" s="123" t="str">
        <f t="shared" si="0"/>
        <v/>
      </c>
      <c r="N18" s="123" t="str">
        <f t="shared" si="1"/>
        <v/>
      </c>
      <c r="O18" s="139"/>
      <c r="P18" s="139"/>
      <c r="Q18" s="139"/>
      <c r="R18" s="139"/>
      <c r="S18" s="140"/>
      <c r="U18" s="141"/>
      <c r="V18" s="141"/>
    </row>
    <row r="19" spans="1:22" ht="15" x14ac:dyDescent="0.2">
      <c r="A19" s="296"/>
      <c r="B19" s="299"/>
      <c r="C19" s="302"/>
      <c r="D19" s="302"/>
      <c r="E19" s="302"/>
      <c r="F19" s="302"/>
      <c r="G19" s="293"/>
      <c r="H19" s="293"/>
      <c r="I19" s="293"/>
      <c r="J19" s="113"/>
      <c r="K19" s="114"/>
      <c r="L19" s="113">
        <f>C18/0.3</f>
        <v>0</v>
      </c>
      <c r="M19" s="123" t="str">
        <f t="shared" si="0"/>
        <v/>
      </c>
      <c r="N19" s="123" t="str">
        <f t="shared" si="1"/>
        <v/>
      </c>
      <c r="O19" s="139"/>
      <c r="P19" s="139"/>
      <c r="Q19" s="139"/>
      <c r="R19" s="139"/>
      <c r="S19" s="140"/>
      <c r="U19" s="141"/>
      <c r="V19" s="141"/>
    </row>
    <row r="20" spans="1:22" ht="15" x14ac:dyDescent="0.2">
      <c r="A20" s="296"/>
      <c r="B20" s="299"/>
      <c r="C20" s="302"/>
      <c r="D20" s="302"/>
      <c r="E20" s="302"/>
      <c r="F20" s="302"/>
      <c r="G20" s="293"/>
      <c r="H20" s="293"/>
      <c r="I20" s="293"/>
      <c r="J20" s="113"/>
      <c r="K20" s="114"/>
      <c r="L20" s="113">
        <f>D18/0.3</f>
        <v>0</v>
      </c>
      <c r="M20" s="123" t="str">
        <f t="shared" si="0"/>
        <v/>
      </c>
      <c r="N20" s="123" t="str">
        <f t="shared" si="1"/>
        <v/>
      </c>
      <c r="O20" s="139"/>
      <c r="P20" s="139"/>
      <c r="Q20" s="139"/>
      <c r="R20" s="139"/>
      <c r="S20" s="140"/>
      <c r="U20" s="141"/>
      <c r="V20" s="141"/>
    </row>
    <row r="21" spans="1:22" ht="15" x14ac:dyDescent="0.2">
      <c r="A21" s="297"/>
      <c r="B21" s="300"/>
      <c r="C21" s="303"/>
      <c r="D21" s="303"/>
      <c r="E21" s="303"/>
      <c r="F21" s="303"/>
      <c r="G21" s="294"/>
      <c r="H21" s="294"/>
      <c r="I21" s="294"/>
      <c r="J21" s="113"/>
      <c r="K21" s="114"/>
      <c r="L21" s="113">
        <f>C18/0.3</f>
        <v>0</v>
      </c>
      <c r="M21" s="123" t="str">
        <f t="shared" si="0"/>
        <v/>
      </c>
      <c r="N21" s="123" t="str">
        <f t="shared" si="1"/>
        <v/>
      </c>
      <c r="O21" s="139"/>
      <c r="P21" s="139"/>
      <c r="Q21" s="139"/>
      <c r="R21" s="139"/>
      <c r="S21" s="140"/>
      <c r="U21" s="141"/>
      <c r="V21" s="141"/>
    </row>
    <row r="22" spans="1:22" ht="15.75" x14ac:dyDescent="0.2">
      <c r="A22" s="183"/>
      <c r="B22" s="184"/>
      <c r="C22" s="184"/>
      <c r="D22" s="184"/>
      <c r="E22" s="184"/>
      <c r="F22" s="184"/>
      <c r="G22" s="173">
        <f>SUM(G14:G14)</f>
        <v>0</v>
      </c>
      <c r="H22" s="173">
        <f>SUM(H14:H14)</f>
        <v>0</v>
      </c>
      <c r="I22" s="173">
        <f>SUM(I14:I14)</f>
        <v>0</v>
      </c>
      <c r="J22" s="185"/>
      <c r="K22" s="186"/>
      <c r="L22" s="187"/>
      <c r="M22" s="173">
        <f>SUM(M14:M21)</f>
        <v>0</v>
      </c>
      <c r="N22" s="173">
        <f>SUM(N14:N21)</f>
        <v>0</v>
      </c>
      <c r="O22" s="148"/>
      <c r="P22" s="148"/>
      <c r="Q22" s="148"/>
      <c r="R22" s="148"/>
      <c r="S22" s="111"/>
      <c r="T22" s="111"/>
      <c r="U22" s="148"/>
      <c r="V22" s="148"/>
    </row>
    <row r="23" spans="1:22" ht="15.75" x14ac:dyDescent="0.2">
      <c r="A23" s="111"/>
      <c r="H23" s="188"/>
      <c r="I23" s="188" t="s">
        <v>197</v>
      </c>
      <c r="L23" s="190"/>
      <c r="O23" s="148"/>
      <c r="P23" s="148"/>
      <c r="Q23" s="148"/>
      <c r="R23" s="148"/>
      <c r="S23" s="111"/>
      <c r="T23" s="111"/>
      <c r="U23" s="148"/>
      <c r="V23" s="148"/>
    </row>
    <row r="24" spans="1:22" ht="15" x14ac:dyDescent="0.2">
      <c r="A24" s="191"/>
      <c r="C24" s="119"/>
      <c r="D24" s="174"/>
      <c r="E24" s="174"/>
      <c r="F24" s="174"/>
      <c r="G24" s="119"/>
      <c r="H24" s="180"/>
      <c r="I24" s="180"/>
      <c r="J24" s="180"/>
      <c r="K24" s="181"/>
      <c r="O24" s="139"/>
      <c r="P24" s="139"/>
      <c r="Q24" s="139"/>
      <c r="R24" s="139"/>
      <c r="S24" s="140"/>
      <c r="U24" s="141"/>
      <c r="V24" s="141"/>
    </row>
    <row r="25" spans="1:22" ht="15" x14ac:dyDescent="0.2">
      <c r="A25" s="191"/>
      <c r="C25" s="119"/>
      <c r="D25" s="174"/>
      <c r="E25" s="174"/>
      <c r="F25" s="174"/>
      <c r="G25" s="119"/>
      <c r="H25" s="180"/>
      <c r="I25" s="180"/>
      <c r="J25" s="180"/>
      <c r="K25" s="181"/>
      <c r="O25" s="139"/>
      <c r="P25" s="139"/>
      <c r="Q25" s="139"/>
      <c r="R25" s="139"/>
      <c r="S25" s="140"/>
      <c r="U25" s="141"/>
      <c r="V25" s="141"/>
    </row>
    <row r="26" spans="1:22" ht="15" x14ac:dyDescent="0.2">
      <c r="A26" s="191"/>
      <c r="C26" s="119"/>
      <c r="D26" s="174"/>
      <c r="E26" s="174"/>
      <c r="F26" s="174"/>
      <c r="G26" s="119"/>
      <c r="H26" s="180"/>
      <c r="I26" s="180"/>
      <c r="J26" s="180"/>
      <c r="K26" s="181"/>
      <c r="O26" s="139"/>
      <c r="P26" s="139"/>
      <c r="Q26" s="139"/>
      <c r="R26" s="139"/>
      <c r="S26" s="140"/>
      <c r="U26" s="141"/>
      <c r="V26" s="141"/>
    </row>
    <row r="27" spans="1:22" ht="15" x14ac:dyDescent="0.2">
      <c r="A27" s="191"/>
      <c r="C27" s="119"/>
      <c r="D27" s="174"/>
      <c r="E27" s="174"/>
      <c r="F27" s="174"/>
      <c r="G27" s="119"/>
      <c r="H27" s="180"/>
      <c r="I27" s="180"/>
      <c r="J27" s="180"/>
      <c r="K27" s="181"/>
      <c r="O27" s="139"/>
      <c r="P27" s="139"/>
      <c r="Q27" s="139"/>
      <c r="R27" s="139"/>
      <c r="S27" s="140"/>
      <c r="U27" s="141"/>
      <c r="V27" s="141"/>
    </row>
    <row r="28" spans="1:22" ht="15" x14ac:dyDescent="0.2">
      <c r="A28" s="191"/>
      <c r="C28" s="119"/>
      <c r="D28" s="174"/>
      <c r="E28" s="174"/>
      <c r="F28" s="174"/>
      <c r="G28" s="119"/>
      <c r="H28" s="180"/>
      <c r="I28" s="180"/>
      <c r="J28" s="180"/>
      <c r="K28" s="181"/>
      <c r="O28" s="139"/>
      <c r="P28" s="139"/>
      <c r="Q28" s="139"/>
      <c r="R28" s="139"/>
      <c r="S28" s="140"/>
      <c r="U28" s="141"/>
      <c r="V28" s="141"/>
    </row>
    <row r="29" spans="1:22" ht="15" x14ac:dyDescent="0.2">
      <c r="A29" s="179"/>
      <c r="C29" s="119"/>
      <c r="D29" s="174"/>
      <c r="E29" s="174"/>
      <c r="F29" s="174"/>
      <c r="G29" s="119"/>
      <c r="H29" s="180"/>
      <c r="I29" s="180"/>
      <c r="J29" s="180"/>
      <c r="K29" s="181"/>
      <c r="O29" s="139"/>
      <c r="P29" s="139"/>
      <c r="Q29" s="139"/>
      <c r="R29" s="139"/>
      <c r="S29" s="140"/>
      <c r="U29" s="141"/>
      <c r="V29" s="141"/>
    </row>
    <row r="30" spans="1:22" ht="15" x14ac:dyDescent="0.2">
      <c r="C30" s="119"/>
      <c r="D30" s="174"/>
      <c r="E30" s="174"/>
      <c r="F30" s="174"/>
      <c r="G30" s="119"/>
      <c r="H30" s="180"/>
      <c r="I30" s="180"/>
      <c r="J30" s="180"/>
      <c r="K30" s="181"/>
      <c r="O30" s="139"/>
      <c r="P30" s="139"/>
      <c r="Q30" s="139"/>
      <c r="R30" s="139"/>
      <c r="S30" s="140"/>
      <c r="U30" s="141"/>
      <c r="V30" s="141"/>
    </row>
    <row r="31" spans="1:22" ht="15" x14ac:dyDescent="0.2">
      <c r="A31" s="179"/>
      <c r="C31" s="119"/>
      <c r="D31" s="174"/>
      <c r="E31" s="174"/>
      <c r="F31" s="174"/>
      <c r="G31" s="119"/>
      <c r="H31" s="180"/>
      <c r="I31" s="180"/>
      <c r="J31" s="180"/>
      <c r="K31" s="181"/>
      <c r="O31" s="139"/>
      <c r="P31" s="139"/>
      <c r="Q31" s="139"/>
      <c r="R31" s="139"/>
      <c r="S31" s="140"/>
      <c r="U31" s="141"/>
      <c r="V31" s="141"/>
    </row>
    <row r="32" spans="1:22" ht="15" x14ac:dyDescent="0.2">
      <c r="A32" s="191"/>
      <c r="C32" s="119"/>
      <c r="D32" s="174"/>
      <c r="E32" s="174"/>
      <c r="F32" s="174"/>
      <c r="G32" s="119"/>
      <c r="H32" s="180"/>
      <c r="I32" s="180"/>
      <c r="J32" s="180"/>
      <c r="K32" s="181"/>
      <c r="O32" s="139"/>
      <c r="P32" s="139"/>
      <c r="Q32" s="139"/>
      <c r="R32" s="139"/>
      <c r="S32" s="140"/>
      <c r="U32" s="141"/>
      <c r="V32" s="141"/>
    </row>
    <row r="33" spans="1:22" ht="15.75" x14ac:dyDescent="0.2">
      <c r="A33" s="191"/>
      <c r="C33" s="119"/>
      <c r="D33" s="177"/>
      <c r="E33" s="174"/>
      <c r="F33" s="174"/>
      <c r="G33" s="119"/>
      <c r="H33" s="180"/>
      <c r="I33" s="180"/>
      <c r="J33" s="180"/>
      <c r="K33" s="181"/>
      <c r="O33" s="139"/>
      <c r="P33" s="139"/>
      <c r="Q33" s="139"/>
      <c r="R33" s="139"/>
      <c r="S33" s="140"/>
      <c r="U33" s="141"/>
      <c r="V33" s="141"/>
    </row>
    <row r="34" spans="1:22" ht="15.75" x14ac:dyDescent="0.2">
      <c r="A34" s="191"/>
      <c r="C34" s="119"/>
      <c r="D34" s="177"/>
      <c r="E34" s="177"/>
      <c r="F34" s="177"/>
      <c r="G34" s="119"/>
      <c r="H34" s="180"/>
      <c r="I34" s="180"/>
      <c r="J34" s="180"/>
      <c r="K34" s="181"/>
      <c r="O34" s="139"/>
      <c r="P34" s="139"/>
      <c r="Q34" s="139"/>
      <c r="R34" s="139"/>
      <c r="S34" s="140"/>
      <c r="U34" s="141"/>
      <c r="V34" s="141"/>
    </row>
    <row r="35" spans="1:22" ht="15" x14ac:dyDescent="0.2">
      <c r="A35" s="191"/>
      <c r="C35" s="119"/>
      <c r="D35" s="119"/>
      <c r="E35" s="119"/>
      <c r="F35" s="119"/>
      <c r="G35" s="119"/>
      <c r="H35" s="180"/>
      <c r="I35" s="180"/>
      <c r="J35" s="180"/>
      <c r="K35" s="181"/>
      <c r="M35" s="189"/>
      <c r="N35" s="189"/>
      <c r="O35" s="139"/>
      <c r="P35" s="139"/>
      <c r="Q35" s="139"/>
      <c r="R35" s="139"/>
      <c r="S35" s="140"/>
      <c r="U35" s="141"/>
      <c r="V35" s="141"/>
    </row>
    <row r="36" spans="1:22" x14ac:dyDescent="0.2">
      <c r="A36" s="191"/>
      <c r="G36" s="180"/>
      <c r="H36" s="180"/>
      <c r="I36" s="180"/>
      <c r="J36" s="180"/>
      <c r="K36" s="181"/>
      <c r="O36" s="139"/>
      <c r="P36" s="139"/>
      <c r="Q36" s="139"/>
      <c r="R36" s="139"/>
      <c r="S36" s="140"/>
      <c r="U36" s="141"/>
      <c r="V36" s="141"/>
    </row>
    <row r="37" spans="1:22" x14ac:dyDescent="0.2">
      <c r="A37" s="191"/>
      <c r="G37" s="180"/>
      <c r="H37" s="180"/>
      <c r="I37" s="180"/>
      <c r="J37" s="180"/>
      <c r="K37" s="181"/>
      <c r="O37" s="139"/>
      <c r="P37" s="139"/>
      <c r="Q37" s="139"/>
      <c r="R37" s="139"/>
      <c r="S37" s="140"/>
      <c r="U37" s="141"/>
      <c r="V37" s="141"/>
    </row>
    <row r="38" spans="1:22" x14ac:dyDescent="0.2">
      <c r="A38" s="191"/>
      <c r="G38" s="180"/>
      <c r="H38" s="180"/>
      <c r="I38" s="180"/>
      <c r="J38" s="180"/>
      <c r="K38" s="181"/>
      <c r="O38" s="139"/>
      <c r="P38" s="139"/>
      <c r="Q38" s="139"/>
      <c r="R38" s="139"/>
      <c r="S38" s="140"/>
      <c r="U38" s="141"/>
      <c r="V38" s="141"/>
    </row>
    <row r="39" spans="1:22" x14ac:dyDescent="0.2">
      <c r="A39" s="191"/>
      <c r="G39" s="180"/>
      <c r="H39" s="180"/>
      <c r="I39" s="180"/>
      <c r="J39" s="180"/>
      <c r="K39" s="181"/>
      <c r="O39" s="139"/>
      <c r="P39" s="139"/>
      <c r="Q39" s="139"/>
      <c r="R39" s="139"/>
      <c r="S39" s="140"/>
      <c r="U39" s="141"/>
      <c r="V39" s="141"/>
    </row>
    <row r="40" spans="1:22" x14ac:dyDescent="0.2">
      <c r="A40" s="191"/>
      <c r="G40" s="180"/>
      <c r="H40" s="180"/>
      <c r="I40" s="180"/>
      <c r="J40" s="180"/>
      <c r="K40" s="181"/>
      <c r="O40" s="139"/>
      <c r="P40" s="139"/>
      <c r="Q40" s="139"/>
      <c r="R40" s="139"/>
      <c r="S40" s="140"/>
      <c r="U40" s="141"/>
      <c r="V40" s="141"/>
    </row>
    <row r="41" spans="1:22" x14ac:dyDescent="0.2">
      <c r="A41" s="191"/>
      <c r="G41" s="180"/>
      <c r="H41" s="180"/>
      <c r="I41" s="180"/>
      <c r="J41" s="180"/>
      <c r="K41" s="181"/>
      <c r="L41" s="189"/>
      <c r="M41" s="189"/>
      <c r="N41" s="189"/>
      <c r="O41" s="139"/>
      <c r="P41" s="139"/>
      <c r="Q41" s="139"/>
      <c r="R41" s="139"/>
      <c r="S41" s="140"/>
      <c r="U41" s="141"/>
      <c r="V41" s="141"/>
    </row>
    <row r="42" spans="1:22" x14ac:dyDescent="0.2">
      <c r="A42" s="191"/>
      <c r="G42" s="180"/>
      <c r="H42" s="180"/>
      <c r="I42" s="180"/>
      <c r="J42" s="180"/>
      <c r="K42" s="181"/>
      <c r="O42" s="139"/>
      <c r="P42" s="139"/>
      <c r="Q42" s="139"/>
      <c r="R42" s="139"/>
      <c r="S42" s="140"/>
      <c r="U42" s="141"/>
      <c r="V42" s="141"/>
    </row>
    <row r="43" spans="1:22" x14ac:dyDescent="0.2">
      <c r="A43" s="191"/>
      <c r="G43" s="180"/>
      <c r="H43" s="180"/>
      <c r="I43" s="180"/>
      <c r="J43" s="180"/>
      <c r="K43" s="181"/>
      <c r="O43" s="139"/>
      <c r="P43" s="139"/>
      <c r="Q43" s="139"/>
      <c r="R43" s="139"/>
      <c r="S43" s="140"/>
      <c r="U43" s="141"/>
      <c r="V43" s="141"/>
    </row>
    <row r="44" spans="1:22" x14ac:dyDescent="0.2">
      <c r="A44" s="191"/>
      <c r="G44" s="180"/>
      <c r="H44" s="180"/>
      <c r="I44" s="180"/>
      <c r="J44" s="180"/>
      <c r="K44" s="181"/>
      <c r="O44" s="139"/>
      <c r="P44" s="139"/>
      <c r="Q44" s="139"/>
      <c r="R44" s="139"/>
      <c r="S44" s="140"/>
      <c r="U44" s="141"/>
      <c r="V44" s="141"/>
    </row>
    <row r="45" spans="1:22" x14ac:dyDescent="0.2">
      <c r="A45" s="191"/>
      <c r="G45" s="180"/>
      <c r="H45" s="180"/>
      <c r="I45" s="180"/>
      <c r="J45" s="180"/>
      <c r="K45" s="181"/>
      <c r="M45" s="180"/>
      <c r="N45" s="180"/>
      <c r="O45" s="139"/>
      <c r="P45" s="139"/>
      <c r="Q45" s="139"/>
      <c r="R45" s="139"/>
      <c r="S45" s="140"/>
      <c r="U45" s="141"/>
      <c r="V45" s="141"/>
    </row>
    <row r="46" spans="1:22" x14ac:dyDescent="0.2">
      <c r="A46" s="191"/>
      <c r="G46" s="180"/>
      <c r="H46" s="180"/>
      <c r="I46" s="180"/>
      <c r="J46" s="180"/>
      <c r="K46" s="181"/>
      <c r="M46" s="180"/>
      <c r="N46" s="180"/>
      <c r="O46" s="139"/>
      <c r="P46" s="139"/>
      <c r="Q46" s="139"/>
      <c r="R46" s="139"/>
      <c r="S46" s="140"/>
      <c r="U46" s="141"/>
      <c r="V46" s="141"/>
    </row>
    <row r="47" spans="1:22" x14ac:dyDescent="0.2">
      <c r="A47" s="191"/>
      <c r="G47" s="180"/>
      <c r="H47" s="180"/>
      <c r="I47" s="180"/>
      <c r="J47" s="180"/>
      <c r="K47" s="181"/>
      <c r="L47" s="189"/>
      <c r="M47" s="190"/>
      <c r="N47" s="190"/>
      <c r="O47" s="139"/>
      <c r="P47" s="139"/>
      <c r="Q47" s="139"/>
      <c r="R47" s="139"/>
      <c r="S47" s="140"/>
      <c r="U47" s="141"/>
      <c r="V47" s="141"/>
    </row>
    <row r="48" spans="1:22" x14ac:dyDescent="0.2">
      <c r="A48" s="191"/>
      <c r="G48" s="180"/>
      <c r="H48" s="180"/>
      <c r="I48" s="180"/>
      <c r="J48" s="180"/>
      <c r="K48" s="181"/>
      <c r="O48" s="139"/>
      <c r="P48" s="139"/>
      <c r="Q48" s="139"/>
      <c r="R48" s="139"/>
      <c r="S48" s="140"/>
      <c r="U48" s="141"/>
      <c r="V48" s="141"/>
    </row>
    <row r="49" spans="1:22" x14ac:dyDescent="0.2">
      <c r="A49" s="191"/>
      <c r="G49" s="180"/>
      <c r="H49" s="180"/>
      <c r="I49" s="180"/>
      <c r="J49" s="180"/>
      <c r="K49" s="181"/>
      <c r="M49" s="180"/>
      <c r="N49" s="180"/>
      <c r="O49" s="139"/>
      <c r="P49" s="139"/>
      <c r="Q49" s="139"/>
      <c r="R49" s="139"/>
      <c r="S49" s="140"/>
      <c r="U49" s="141"/>
      <c r="V49" s="141"/>
    </row>
    <row r="50" spans="1:22" x14ac:dyDescent="0.2">
      <c r="A50" s="191"/>
      <c r="G50" s="180"/>
      <c r="H50" s="180"/>
      <c r="I50" s="180"/>
      <c r="J50" s="180"/>
      <c r="K50" s="181"/>
      <c r="M50" s="180"/>
      <c r="N50" s="180"/>
      <c r="O50" s="139"/>
      <c r="P50" s="139"/>
      <c r="Q50" s="139"/>
      <c r="R50" s="139"/>
      <c r="S50" s="140"/>
      <c r="U50" s="141"/>
      <c r="V50" s="141"/>
    </row>
    <row r="51" spans="1:22" x14ac:dyDescent="0.2">
      <c r="A51" s="191"/>
      <c r="G51" s="180"/>
      <c r="H51" s="180"/>
      <c r="I51" s="180"/>
      <c r="J51" s="180"/>
      <c r="K51" s="181"/>
      <c r="L51" s="189"/>
      <c r="M51" s="192"/>
      <c r="N51" s="192"/>
      <c r="O51" s="139"/>
      <c r="P51" s="139"/>
      <c r="Q51" s="139"/>
      <c r="R51" s="139"/>
      <c r="S51" s="140"/>
      <c r="U51" s="141"/>
      <c r="V51" s="141"/>
    </row>
    <row r="52" spans="1:22" x14ac:dyDescent="0.2">
      <c r="A52" s="191"/>
      <c r="D52" s="193"/>
      <c r="E52" s="193"/>
      <c r="F52" s="193"/>
      <c r="G52" s="193"/>
      <c r="H52" s="193"/>
      <c r="I52" s="193"/>
      <c r="J52" s="193"/>
      <c r="K52" s="194"/>
      <c r="L52" s="195"/>
      <c r="M52" s="196"/>
      <c r="N52" s="196"/>
      <c r="O52" s="139"/>
      <c r="P52" s="139"/>
      <c r="Q52" s="139"/>
      <c r="R52" s="139"/>
      <c r="S52" s="140"/>
      <c r="U52" s="141"/>
      <c r="V52" s="141"/>
    </row>
    <row r="53" spans="1:22" x14ac:dyDescent="0.2">
      <c r="A53" s="191"/>
      <c r="G53" s="180"/>
      <c r="H53" s="180"/>
      <c r="I53" s="180"/>
      <c r="J53" s="180"/>
      <c r="K53" s="181"/>
      <c r="L53" s="189"/>
      <c r="M53" s="192"/>
      <c r="N53" s="192"/>
      <c r="O53" s="139"/>
      <c r="P53" s="139"/>
      <c r="Q53" s="139"/>
      <c r="R53" s="139"/>
      <c r="S53" s="140"/>
      <c r="U53" s="141"/>
      <c r="V53" s="141"/>
    </row>
    <row r="54" spans="1:22" x14ac:dyDescent="0.2">
      <c r="A54" s="191"/>
      <c r="G54" s="180"/>
      <c r="H54" s="180"/>
      <c r="I54" s="180"/>
      <c r="J54" s="180"/>
      <c r="K54" s="181"/>
      <c r="O54" s="139"/>
      <c r="P54" s="139"/>
      <c r="Q54" s="139"/>
      <c r="R54" s="139"/>
      <c r="S54" s="140"/>
      <c r="U54" s="141"/>
      <c r="V54" s="141"/>
    </row>
    <row r="55" spans="1:22" x14ac:dyDescent="0.2">
      <c r="A55" s="191"/>
      <c r="G55" s="180"/>
      <c r="H55" s="180"/>
      <c r="I55" s="180"/>
      <c r="J55" s="180"/>
      <c r="K55" s="181"/>
      <c r="O55" s="139"/>
      <c r="P55" s="139"/>
      <c r="Q55" s="139"/>
      <c r="R55" s="139"/>
      <c r="S55" s="140"/>
      <c r="U55" s="141"/>
      <c r="V55" s="141"/>
    </row>
    <row r="56" spans="1:22" x14ac:dyDescent="0.2">
      <c r="A56" s="191"/>
      <c r="G56" s="180"/>
      <c r="H56" s="180"/>
      <c r="I56" s="180"/>
      <c r="J56" s="180"/>
      <c r="K56" s="181"/>
      <c r="O56" s="139"/>
      <c r="P56" s="139"/>
      <c r="Q56" s="139"/>
      <c r="R56" s="139"/>
      <c r="S56" s="140"/>
      <c r="U56" s="141"/>
      <c r="V56" s="141"/>
    </row>
    <row r="57" spans="1:22" x14ac:dyDescent="0.2">
      <c r="A57" s="191"/>
      <c r="G57" s="180"/>
      <c r="H57" s="180"/>
      <c r="I57" s="180"/>
      <c r="J57" s="180"/>
      <c r="K57" s="181"/>
      <c r="O57" s="139"/>
      <c r="P57" s="139"/>
      <c r="Q57" s="139"/>
      <c r="R57" s="139"/>
      <c r="S57" s="140"/>
      <c r="U57" s="141"/>
      <c r="V57" s="141"/>
    </row>
    <row r="58" spans="1:22" x14ac:dyDescent="0.2">
      <c r="A58" s="191"/>
      <c r="G58" s="180"/>
      <c r="H58" s="180"/>
      <c r="I58" s="180"/>
      <c r="J58" s="180"/>
      <c r="K58" s="181"/>
      <c r="L58" s="189"/>
      <c r="M58" s="189"/>
      <c r="N58" s="189"/>
      <c r="O58" s="139"/>
      <c r="P58" s="139"/>
      <c r="Q58" s="139"/>
      <c r="R58" s="139"/>
      <c r="S58" s="140"/>
      <c r="U58" s="141"/>
      <c r="V58" s="141"/>
    </row>
    <row r="59" spans="1:22" x14ac:dyDescent="0.2">
      <c r="A59" s="191"/>
      <c r="G59" s="180"/>
      <c r="H59" s="180"/>
      <c r="I59" s="180"/>
      <c r="J59" s="180"/>
      <c r="K59" s="181"/>
      <c r="O59" s="139"/>
      <c r="P59" s="139"/>
      <c r="Q59" s="139"/>
      <c r="R59" s="139"/>
      <c r="S59" s="140"/>
      <c r="U59" s="141"/>
      <c r="V59" s="141"/>
    </row>
    <row r="60" spans="1:22" x14ac:dyDescent="0.2">
      <c r="A60" s="191"/>
      <c r="G60" s="180"/>
      <c r="H60" s="180"/>
      <c r="I60" s="180"/>
      <c r="J60" s="180"/>
      <c r="K60" s="181"/>
      <c r="O60" s="139"/>
      <c r="P60" s="139"/>
      <c r="Q60" s="141"/>
      <c r="R60" s="140"/>
      <c r="T60" s="141"/>
      <c r="U60" s="141"/>
    </row>
    <row r="61" spans="1:22" x14ac:dyDescent="0.2">
      <c r="A61" s="191"/>
      <c r="G61" s="180"/>
      <c r="H61" s="180"/>
      <c r="I61" s="180"/>
      <c r="J61" s="180"/>
      <c r="K61" s="181"/>
      <c r="O61" s="139"/>
      <c r="P61" s="139"/>
      <c r="Q61" s="141"/>
      <c r="R61" s="140"/>
      <c r="T61" s="141"/>
      <c r="U61" s="141"/>
    </row>
    <row r="62" spans="1:22" x14ac:dyDescent="0.2">
      <c r="A62" s="191"/>
      <c r="G62" s="180"/>
      <c r="H62" s="180"/>
      <c r="I62" s="180"/>
      <c r="J62" s="180"/>
      <c r="K62" s="181"/>
      <c r="M62" s="180"/>
      <c r="N62" s="180"/>
      <c r="O62" s="139"/>
      <c r="P62" s="139"/>
      <c r="Q62" s="141"/>
      <c r="R62" s="140"/>
      <c r="T62" s="141"/>
      <c r="U62" s="141"/>
    </row>
    <row r="63" spans="1:22" x14ac:dyDescent="0.2">
      <c r="A63" s="191"/>
      <c r="G63" s="180"/>
      <c r="H63" s="180"/>
      <c r="I63" s="180"/>
      <c r="J63" s="180"/>
      <c r="K63" s="181"/>
      <c r="M63" s="180"/>
      <c r="N63" s="180"/>
      <c r="O63" s="139"/>
      <c r="P63" s="139"/>
      <c r="Q63" s="141"/>
      <c r="R63" s="140"/>
      <c r="T63" s="141"/>
      <c r="U63" s="141"/>
    </row>
    <row r="64" spans="1:22" x14ac:dyDescent="0.2">
      <c r="A64" s="191"/>
      <c r="G64" s="180"/>
      <c r="H64" s="180"/>
      <c r="I64" s="180"/>
      <c r="J64" s="180"/>
      <c r="K64" s="181"/>
      <c r="L64" s="189"/>
      <c r="M64" s="190"/>
      <c r="N64" s="190"/>
      <c r="O64" s="139"/>
      <c r="P64" s="154"/>
      <c r="Q64" s="111"/>
      <c r="R64" s="148"/>
      <c r="T64" s="141"/>
      <c r="U64" s="141"/>
    </row>
    <row r="65" spans="1:21" x14ac:dyDescent="0.2">
      <c r="A65" s="191"/>
      <c r="G65" s="180"/>
      <c r="H65" s="180"/>
      <c r="I65" s="180"/>
      <c r="J65" s="180"/>
      <c r="K65" s="181"/>
      <c r="O65" s="139"/>
      <c r="P65" s="139"/>
      <c r="Q65" s="111"/>
      <c r="R65" s="148"/>
      <c r="T65" s="141"/>
      <c r="U65" s="141"/>
    </row>
    <row r="66" spans="1:21" x14ac:dyDescent="0.2">
      <c r="A66" s="191"/>
      <c r="G66" s="180"/>
      <c r="H66" s="180"/>
      <c r="I66" s="180"/>
      <c r="J66" s="180"/>
      <c r="K66" s="181"/>
      <c r="M66" s="180"/>
      <c r="N66" s="180"/>
      <c r="O66" s="139"/>
      <c r="P66" s="139"/>
      <c r="Q66" s="111"/>
      <c r="R66" s="148"/>
      <c r="T66" s="141"/>
      <c r="U66" s="141"/>
    </row>
    <row r="67" spans="1:21" x14ac:dyDescent="0.2">
      <c r="A67" s="191"/>
      <c r="G67" s="180"/>
      <c r="H67" s="180"/>
      <c r="I67" s="180"/>
      <c r="J67" s="180"/>
      <c r="K67" s="181"/>
      <c r="M67" s="180"/>
      <c r="N67" s="180"/>
      <c r="O67" s="139"/>
      <c r="P67" s="139"/>
      <c r="Q67" s="142"/>
      <c r="R67" s="141"/>
      <c r="T67" s="141"/>
      <c r="U67" s="141"/>
    </row>
    <row r="68" spans="1:21" x14ac:dyDescent="0.2">
      <c r="A68" s="191"/>
      <c r="G68" s="180"/>
      <c r="H68" s="180"/>
      <c r="I68" s="180"/>
      <c r="J68" s="180"/>
      <c r="K68" s="181"/>
      <c r="L68" s="189"/>
      <c r="M68" s="192"/>
      <c r="N68" s="192"/>
      <c r="O68" s="139"/>
      <c r="P68" s="139"/>
      <c r="Q68" s="142"/>
      <c r="R68" s="141"/>
      <c r="T68" s="141"/>
      <c r="U68" s="141"/>
    </row>
    <row r="69" spans="1:21" x14ac:dyDescent="0.2">
      <c r="A69" s="191"/>
      <c r="E69" s="193"/>
      <c r="F69" s="193"/>
      <c r="G69" s="193"/>
      <c r="H69" s="193"/>
      <c r="I69" s="193"/>
      <c r="J69" s="193"/>
      <c r="K69" s="194"/>
      <c r="L69" s="195"/>
      <c r="M69" s="196"/>
      <c r="N69" s="196"/>
      <c r="O69" s="139"/>
      <c r="P69" s="139"/>
      <c r="Q69" s="142"/>
      <c r="R69" s="141"/>
      <c r="T69" s="141"/>
      <c r="U69" s="141"/>
    </row>
    <row r="70" spans="1:21" x14ac:dyDescent="0.2">
      <c r="A70" s="191"/>
      <c r="G70" s="180"/>
      <c r="H70" s="180"/>
      <c r="I70" s="180"/>
      <c r="J70" s="180"/>
      <c r="K70" s="181"/>
      <c r="L70" s="189"/>
      <c r="M70" s="192"/>
      <c r="N70" s="192"/>
      <c r="O70" s="139"/>
      <c r="P70" s="139"/>
      <c r="Q70" s="142"/>
      <c r="R70" s="141"/>
      <c r="T70" s="141"/>
      <c r="U70" s="141"/>
    </row>
    <row r="71" spans="1:21" x14ac:dyDescent="0.2">
      <c r="A71" s="191"/>
      <c r="G71" s="180"/>
      <c r="H71" s="180"/>
      <c r="I71" s="180"/>
      <c r="J71" s="180"/>
      <c r="K71" s="181"/>
      <c r="L71" s="197"/>
      <c r="M71" s="192"/>
      <c r="N71" s="192"/>
      <c r="O71" s="139"/>
      <c r="P71" s="141"/>
      <c r="Q71" s="142"/>
      <c r="R71" s="141"/>
      <c r="T71" s="141"/>
      <c r="U71" s="141"/>
    </row>
    <row r="72" spans="1:21" x14ac:dyDescent="0.2">
      <c r="A72" s="191"/>
      <c r="G72" s="180"/>
      <c r="H72" s="180"/>
      <c r="I72" s="180"/>
      <c r="J72" s="180"/>
      <c r="K72" s="181"/>
      <c r="O72" s="139"/>
      <c r="P72" s="139"/>
      <c r="Q72" s="142"/>
      <c r="R72" s="141"/>
      <c r="T72" s="141"/>
      <c r="U72" s="141"/>
    </row>
    <row r="73" spans="1:21" x14ac:dyDescent="0.2">
      <c r="A73" s="191"/>
      <c r="G73" s="180"/>
      <c r="H73" s="180"/>
      <c r="I73" s="180"/>
      <c r="J73" s="180"/>
      <c r="K73" s="181"/>
      <c r="O73" s="139"/>
      <c r="P73" s="139"/>
      <c r="Q73" s="142"/>
      <c r="R73" s="141"/>
      <c r="T73" s="141"/>
      <c r="U73" s="141"/>
    </row>
    <row r="74" spans="1:21" x14ac:dyDescent="0.2">
      <c r="A74" s="191"/>
      <c r="G74" s="180"/>
      <c r="H74" s="180"/>
      <c r="I74" s="180"/>
      <c r="J74" s="180"/>
      <c r="K74" s="181"/>
      <c r="O74" s="139"/>
      <c r="P74" s="139"/>
      <c r="Q74" s="142"/>
      <c r="R74" s="141"/>
      <c r="T74" s="141"/>
      <c r="U74" s="141"/>
    </row>
    <row r="75" spans="1:21" x14ac:dyDescent="0.2">
      <c r="A75" s="191"/>
      <c r="G75" s="180"/>
      <c r="H75" s="180"/>
      <c r="I75" s="180"/>
      <c r="J75" s="180"/>
      <c r="K75" s="181"/>
      <c r="L75" s="189"/>
      <c r="M75" s="189"/>
      <c r="N75" s="189"/>
      <c r="O75" s="139"/>
      <c r="P75" s="139"/>
      <c r="Q75" s="142"/>
      <c r="R75" s="141"/>
      <c r="T75" s="141"/>
      <c r="U75" s="141"/>
    </row>
    <row r="76" spans="1:21" x14ac:dyDescent="0.2">
      <c r="A76" s="191"/>
      <c r="G76" s="180"/>
      <c r="H76" s="180"/>
      <c r="I76" s="180"/>
      <c r="J76" s="180"/>
      <c r="K76" s="181"/>
      <c r="O76" s="139"/>
      <c r="P76" s="139"/>
      <c r="Q76" s="142"/>
      <c r="R76" s="141"/>
      <c r="T76" s="141"/>
      <c r="U76" s="141"/>
    </row>
    <row r="77" spans="1:21" x14ac:dyDescent="0.2">
      <c r="A77" s="191"/>
      <c r="G77" s="180"/>
      <c r="H77" s="180"/>
      <c r="I77" s="180"/>
      <c r="J77" s="180"/>
      <c r="K77" s="181"/>
      <c r="O77" s="139"/>
      <c r="P77" s="139"/>
      <c r="Q77" s="142"/>
      <c r="R77" s="141"/>
      <c r="T77" s="141"/>
      <c r="U77" s="141"/>
    </row>
    <row r="78" spans="1:21" x14ac:dyDescent="0.2">
      <c r="A78" s="191"/>
      <c r="G78" s="180"/>
      <c r="H78" s="180"/>
      <c r="I78" s="180"/>
      <c r="J78" s="180"/>
      <c r="K78" s="181"/>
      <c r="O78" s="139"/>
      <c r="P78" s="139"/>
      <c r="Q78" s="142"/>
      <c r="R78" s="141"/>
      <c r="T78" s="141"/>
      <c r="U78" s="141"/>
    </row>
    <row r="79" spans="1:21" x14ac:dyDescent="0.2">
      <c r="A79" s="191"/>
      <c r="G79" s="180"/>
      <c r="H79" s="180"/>
      <c r="I79" s="180"/>
      <c r="J79" s="180"/>
      <c r="K79" s="181"/>
      <c r="M79" s="180"/>
      <c r="N79" s="180"/>
      <c r="O79" s="139"/>
      <c r="P79" s="139"/>
      <c r="Q79" s="142"/>
      <c r="R79" s="141"/>
      <c r="T79" s="141"/>
      <c r="U79" s="141"/>
    </row>
    <row r="80" spans="1:21" x14ac:dyDescent="0.2">
      <c r="A80" s="191"/>
      <c r="G80" s="180"/>
      <c r="H80" s="180"/>
      <c r="I80" s="180"/>
      <c r="J80" s="180"/>
      <c r="K80" s="181"/>
      <c r="M80" s="180"/>
      <c r="N80" s="180"/>
      <c r="O80" s="139"/>
      <c r="P80" s="139"/>
      <c r="Q80" s="142"/>
      <c r="R80" s="141"/>
      <c r="T80" s="141"/>
      <c r="U80" s="141"/>
    </row>
    <row r="81" spans="1:21" x14ac:dyDescent="0.2">
      <c r="A81" s="191"/>
      <c r="G81" s="180"/>
      <c r="H81" s="180"/>
      <c r="I81" s="180"/>
      <c r="J81" s="180"/>
      <c r="K81" s="181"/>
      <c r="L81" s="189"/>
      <c r="M81" s="190"/>
      <c r="N81" s="190"/>
      <c r="O81" s="139"/>
      <c r="P81" s="139"/>
      <c r="Q81" s="142"/>
      <c r="R81" s="141"/>
      <c r="T81" s="141"/>
      <c r="U81" s="141"/>
    </row>
    <row r="82" spans="1:21" x14ac:dyDescent="0.2">
      <c r="A82" s="191"/>
      <c r="G82" s="180"/>
      <c r="H82" s="180"/>
      <c r="I82" s="180"/>
      <c r="J82" s="180"/>
      <c r="K82" s="181"/>
      <c r="O82" s="139"/>
      <c r="P82" s="139"/>
      <c r="Q82" s="142"/>
      <c r="R82" s="141"/>
      <c r="T82" s="141"/>
      <c r="U82" s="141"/>
    </row>
    <row r="83" spans="1:21" x14ac:dyDescent="0.2">
      <c r="A83" s="191"/>
      <c r="G83" s="180"/>
      <c r="H83" s="180"/>
      <c r="I83" s="180"/>
      <c r="J83" s="180"/>
      <c r="K83" s="181"/>
      <c r="M83" s="180"/>
      <c r="N83" s="180"/>
      <c r="O83" s="139"/>
      <c r="P83" s="139"/>
      <c r="Q83" s="142"/>
      <c r="R83" s="141"/>
      <c r="T83" s="141"/>
      <c r="U83" s="141"/>
    </row>
    <row r="84" spans="1:21" x14ac:dyDescent="0.2">
      <c r="A84" s="191"/>
      <c r="G84" s="180"/>
      <c r="H84" s="180"/>
      <c r="I84" s="180"/>
      <c r="J84" s="180"/>
      <c r="K84" s="181"/>
      <c r="M84" s="180"/>
      <c r="N84" s="180"/>
      <c r="O84" s="139"/>
      <c r="P84" s="139"/>
      <c r="Q84" s="142"/>
      <c r="R84" s="141"/>
      <c r="T84" s="141"/>
      <c r="U84" s="141"/>
    </row>
    <row r="85" spans="1:21" x14ac:dyDescent="0.2">
      <c r="A85" s="191"/>
      <c r="G85" s="180"/>
      <c r="H85" s="180"/>
      <c r="I85" s="180"/>
      <c r="J85" s="180"/>
      <c r="K85" s="181"/>
      <c r="L85" s="189"/>
      <c r="M85" s="192"/>
      <c r="N85" s="192"/>
      <c r="O85" s="139"/>
      <c r="P85" s="139"/>
      <c r="Q85" s="142"/>
      <c r="R85" s="141"/>
      <c r="T85" s="141"/>
      <c r="U85" s="141"/>
    </row>
    <row r="86" spans="1:21" x14ac:dyDescent="0.2">
      <c r="A86" s="191"/>
      <c r="D86" s="193"/>
      <c r="E86" s="193"/>
      <c r="F86" s="193"/>
      <c r="G86" s="193"/>
      <c r="H86" s="193"/>
      <c r="I86" s="193"/>
      <c r="J86" s="193"/>
      <c r="K86" s="194"/>
      <c r="L86" s="195"/>
      <c r="M86" s="196"/>
      <c r="N86" s="196"/>
      <c r="O86" s="139"/>
      <c r="P86" s="139"/>
      <c r="Q86" s="142"/>
      <c r="R86" s="141"/>
      <c r="T86" s="141"/>
      <c r="U86" s="141"/>
    </row>
    <row r="87" spans="1:21" x14ac:dyDescent="0.2">
      <c r="A87" s="179"/>
      <c r="Q87" s="142"/>
      <c r="R87" s="141"/>
      <c r="T87" s="141"/>
      <c r="U87" s="141"/>
    </row>
    <row r="88" spans="1:21" x14ac:dyDescent="0.2">
      <c r="A88" s="191"/>
      <c r="G88" s="180"/>
      <c r="H88" s="180"/>
      <c r="I88" s="180"/>
      <c r="J88" s="180"/>
      <c r="K88" s="181"/>
      <c r="L88" s="197"/>
      <c r="M88" s="192"/>
      <c r="N88" s="192"/>
      <c r="O88" s="139"/>
      <c r="P88" s="141"/>
      <c r="Q88" s="142"/>
      <c r="R88" s="141"/>
      <c r="T88" s="141"/>
      <c r="U88" s="141"/>
    </row>
    <row r="89" spans="1:21" x14ac:dyDescent="0.2">
      <c r="A89" s="191"/>
      <c r="G89" s="180"/>
      <c r="H89" s="180"/>
      <c r="I89" s="180"/>
      <c r="J89" s="180"/>
      <c r="K89" s="181"/>
      <c r="O89" s="139"/>
      <c r="P89" s="139"/>
      <c r="Q89" s="142"/>
      <c r="R89" s="141"/>
      <c r="T89" s="141"/>
      <c r="U89" s="141"/>
    </row>
    <row r="90" spans="1:21" x14ac:dyDescent="0.2">
      <c r="A90" s="191"/>
      <c r="G90" s="180"/>
      <c r="H90" s="180"/>
      <c r="I90" s="180"/>
      <c r="J90" s="180"/>
      <c r="K90" s="181"/>
      <c r="O90" s="139"/>
      <c r="P90" s="139"/>
      <c r="Q90" s="142"/>
      <c r="R90" s="141"/>
      <c r="T90" s="141"/>
      <c r="U90" s="141"/>
    </row>
    <row r="91" spans="1:21" x14ac:dyDescent="0.2">
      <c r="A91" s="191"/>
      <c r="G91" s="180"/>
      <c r="H91" s="180"/>
      <c r="I91" s="180"/>
      <c r="J91" s="180"/>
      <c r="K91" s="181"/>
      <c r="O91" s="139"/>
      <c r="P91" s="139"/>
      <c r="Q91" s="142"/>
      <c r="R91" s="141"/>
      <c r="T91" s="141"/>
      <c r="U91" s="141"/>
    </row>
    <row r="92" spans="1:21" x14ac:dyDescent="0.2">
      <c r="A92" s="191"/>
      <c r="G92" s="180"/>
      <c r="H92" s="180"/>
      <c r="I92" s="180"/>
      <c r="J92" s="180"/>
      <c r="K92" s="181"/>
      <c r="L92" s="189"/>
      <c r="M92" s="189"/>
      <c r="N92" s="189"/>
      <c r="O92" s="139"/>
      <c r="P92" s="139"/>
      <c r="Q92" s="142"/>
      <c r="R92" s="141"/>
      <c r="T92" s="141"/>
      <c r="U92" s="141"/>
    </row>
    <row r="93" spans="1:21" x14ac:dyDescent="0.2">
      <c r="A93" s="191"/>
      <c r="G93" s="180"/>
      <c r="H93" s="180"/>
      <c r="I93" s="180"/>
      <c r="J93" s="180"/>
      <c r="K93" s="181"/>
      <c r="O93" s="139"/>
      <c r="P93" s="139"/>
      <c r="Q93" s="142"/>
      <c r="R93" s="141"/>
      <c r="T93" s="141"/>
      <c r="U93" s="141"/>
    </row>
    <row r="94" spans="1:21" x14ac:dyDescent="0.2">
      <c r="A94" s="191"/>
      <c r="G94" s="180"/>
      <c r="H94" s="180"/>
      <c r="I94" s="180"/>
      <c r="J94" s="180"/>
      <c r="K94" s="181"/>
      <c r="O94" s="139"/>
      <c r="P94" s="139"/>
      <c r="Q94" s="142"/>
      <c r="R94" s="141"/>
      <c r="T94" s="141"/>
      <c r="U94" s="141"/>
    </row>
    <row r="95" spans="1:21" x14ac:dyDescent="0.2">
      <c r="A95" s="191"/>
      <c r="G95" s="180"/>
      <c r="H95" s="180"/>
      <c r="I95" s="180"/>
      <c r="J95" s="180"/>
      <c r="K95" s="181"/>
      <c r="O95" s="139"/>
      <c r="P95" s="139"/>
      <c r="Q95" s="142"/>
      <c r="R95" s="141"/>
      <c r="T95" s="141"/>
      <c r="U95" s="141"/>
    </row>
    <row r="96" spans="1:21" x14ac:dyDescent="0.2">
      <c r="A96" s="191"/>
      <c r="G96" s="180"/>
      <c r="H96" s="180"/>
      <c r="I96" s="180"/>
      <c r="J96" s="180"/>
      <c r="K96" s="181"/>
      <c r="M96" s="180"/>
      <c r="N96" s="180"/>
      <c r="O96" s="139"/>
      <c r="P96" s="139"/>
      <c r="Q96" s="142"/>
      <c r="R96" s="141"/>
      <c r="T96" s="141"/>
      <c r="U96" s="141"/>
    </row>
    <row r="97" spans="1:21" x14ac:dyDescent="0.2">
      <c r="A97" s="191"/>
      <c r="G97" s="180"/>
      <c r="H97" s="180"/>
      <c r="I97" s="180"/>
      <c r="J97" s="180"/>
      <c r="K97" s="181"/>
      <c r="M97" s="180"/>
      <c r="N97" s="180"/>
      <c r="O97" s="139"/>
      <c r="P97" s="139"/>
      <c r="Q97" s="142"/>
      <c r="R97" s="141"/>
      <c r="T97" s="141"/>
      <c r="U97" s="141"/>
    </row>
    <row r="98" spans="1:21" x14ac:dyDescent="0.2">
      <c r="A98" s="191"/>
      <c r="G98" s="180"/>
      <c r="H98" s="180"/>
      <c r="I98" s="180"/>
      <c r="J98" s="180"/>
      <c r="K98" s="181"/>
      <c r="L98" s="189"/>
      <c r="M98" s="190"/>
      <c r="N98" s="190"/>
      <c r="O98" s="139"/>
      <c r="P98" s="139"/>
      <c r="Q98" s="142"/>
      <c r="R98" s="141"/>
      <c r="T98" s="141"/>
      <c r="U98" s="141"/>
    </row>
    <row r="99" spans="1:21" x14ac:dyDescent="0.2">
      <c r="A99" s="191"/>
      <c r="G99" s="180"/>
      <c r="H99" s="180"/>
      <c r="I99" s="180"/>
      <c r="J99" s="180"/>
      <c r="K99" s="181"/>
      <c r="O99" s="139"/>
      <c r="P99" s="139"/>
      <c r="Q99" s="142"/>
      <c r="R99" s="141"/>
      <c r="T99" s="141"/>
      <c r="U99" s="141"/>
    </row>
    <row r="100" spans="1:21" x14ac:dyDescent="0.2">
      <c r="A100" s="191"/>
      <c r="G100" s="180"/>
      <c r="H100" s="180"/>
      <c r="I100" s="180"/>
      <c r="J100" s="180"/>
      <c r="K100" s="181"/>
      <c r="M100" s="180"/>
      <c r="N100" s="180"/>
      <c r="O100" s="139"/>
      <c r="P100" s="139"/>
      <c r="Q100" s="142"/>
      <c r="R100" s="141"/>
      <c r="T100" s="141"/>
      <c r="U100" s="141"/>
    </row>
    <row r="101" spans="1:21" x14ac:dyDescent="0.2">
      <c r="A101" s="191"/>
      <c r="G101" s="180"/>
      <c r="H101" s="180"/>
      <c r="I101" s="180"/>
      <c r="J101" s="180"/>
      <c r="K101" s="181"/>
      <c r="M101" s="180"/>
      <c r="N101" s="180"/>
      <c r="O101" s="139"/>
      <c r="P101" s="139"/>
      <c r="Q101" s="142"/>
      <c r="R101" s="141"/>
      <c r="T101" s="141"/>
      <c r="U101" s="141"/>
    </row>
    <row r="102" spans="1:21" x14ac:dyDescent="0.2">
      <c r="A102" s="191"/>
      <c r="G102" s="180"/>
      <c r="H102" s="180"/>
      <c r="I102" s="180"/>
      <c r="J102" s="180"/>
      <c r="K102" s="181"/>
      <c r="L102" s="189"/>
      <c r="M102" s="192"/>
      <c r="N102" s="192"/>
      <c r="O102" s="139"/>
      <c r="P102" s="139"/>
      <c r="Q102" s="142"/>
      <c r="R102" s="141"/>
      <c r="T102" s="141"/>
      <c r="U102" s="141"/>
    </row>
    <row r="103" spans="1:21" x14ac:dyDescent="0.2">
      <c r="A103" s="191"/>
      <c r="D103" s="193"/>
      <c r="E103" s="193"/>
      <c r="F103" s="193"/>
      <c r="G103" s="193"/>
      <c r="H103" s="193"/>
      <c r="I103" s="193"/>
      <c r="J103" s="193"/>
      <c r="K103" s="194"/>
      <c r="L103" s="195"/>
      <c r="M103" s="196"/>
      <c r="N103" s="196"/>
      <c r="O103" s="139"/>
      <c r="P103" s="139"/>
      <c r="Q103" s="142"/>
      <c r="R103" s="141"/>
      <c r="T103" s="141"/>
      <c r="U103" s="141"/>
    </row>
    <row r="104" spans="1:21" x14ac:dyDescent="0.2">
      <c r="A104" s="191"/>
      <c r="G104" s="180"/>
      <c r="H104" s="180"/>
      <c r="I104" s="180"/>
      <c r="J104" s="180"/>
      <c r="K104" s="181"/>
      <c r="L104" s="189"/>
      <c r="M104" s="192"/>
      <c r="N104" s="192"/>
      <c r="O104" s="139"/>
      <c r="P104" s="139"/>
      <c r="Q104" s="142"/>
      <c r="R104" s="141"/>
      <c r="T104" s="141"/>
      <c r="U104" s="141"/>
    </row>
    <row r="105" spans="1:21" x14ac:dyDescent="0.2">
      <c r="A105" s="191"/>
      <c r="G105" s="180"/>
      <c r="H105" s="180"/>
      <c r="I105" s="180"/>
      <c r="J105" s="180"/>
      <c r="K105" s="181"/>
      <c r="L105" s="197"/>
      <c r="M105" s="192"/>
      <c r="N105" s="192"/>
      <c r="O105" s="139"/>
      <c r="P105" s="141"/>
      <c r="Q105" s="142"/>
      <c r="R105" s="141"/>
      <c r="T105" s="141"/>
      <c r="U105" s="141"/>
    </row>
    <row r="106" spans="1:21" x14ac:dyDescent="0.2">
      <c r="A106" s="191"/>
      <c r="G106" s="180"/>
      <c r="H106" s="180"/>
      <c r="I106" s="180"/>
      <c r="J106" s="180"/>
      <c r="K106" s="181"/>
      <c r="O106" s="139"/>
      <c r="P106" s="139"/>
      <c r="Q106" s="142"/>
      <c r="R106" s="141"/>
      <c r="T106" s="141"/>
      <c r="U106" s="141"/>
    </row>
    <row r="107" spans="1:21" x14ac:dyDescent="0.2">
      <c r="A107" s="191"/>
      <c r="G107" s="180"/>
      <c r="H107" s="180"/>
      <c r="I107" s="180"/>
      <c r="J107" s="180"/>
      <c r="K107" s="181"/>
      <c r="O107" s="139"/>
      <c r="P107" s="139"/>
      <c r="Q107" s="142"/>
      <c r="R107" s="141"/>
      <c r="T107" s="141"/>
      <c r="U107" s="141"/>
    </row>
    <row r="108" spans="1:21" x14ac:dyDescent="0.2">
      <c r="A108" s="191"/>
      <c r="G108" s="180"/>
      <c r="H108" s="180"/>
      <c r="I108" s="180"/>
      <c r="J108" s="180"/>
      <c r="K108" s="181"/>
      <c r="O108" s="139"/>
      <c r="P108" s="139"/>
      <c r="Q108" s="142"/>
      <c r="R108" s="141"/>
      <c r="T108" s="141"/>
      <c r="U108" s="141"/>
    </row>
    <row r="109" spans="1:21" x14ac:dyDescent="0.2">
      <c r="A109" s="191"/>
      <c r="G109" s="180"/>
      <c r="H109" s="180"/>
      <c r="I109" s="180"/>
      <c r="J109" s="180"/>
      <c r="K109" s="181"/>
      <c r="L109" s="189"/>
      <c r="M109" s="189"/>
      <c r="N109" s="189"/>
      <c r="O109" s="139"/>
      <c r="P109" s="139"/>
      <c r="Q109" s="142"/>
      <c r="R109" s="141"/>
      <c r="T109" s="141"/>
      <c r="U109" s="141"/>
    </row>
    <row r="110" spans="1:21" x14ac:dyDescent="0.2">
      <c r="A110" s="191"/>
      <c r="G110" s="180"/>
      <c r="H110" s="180"/>
      <c r="I110" s="180"/>
      <c r="J110" s="180"/>
      <c r="K110" s="181"/>
      <c r="O110" s="139"/>
      <c r="P110" s="139"/>
      <c r="Q110" s="142"/>
      <c r="R110" s="141"/>
      <c r="T110" s="141"/>
      <c r="U110" s="141"/>
    </row>
    <row r="111" spans="1:21" x14ac:dyDescent="0.2">
      <c r="A111" s="191"/>
      <c r="G111" s="180"/>
      <c r="H111" s="180"/>
      <c r="I111" s="180"/>
      <c r="J111" s="180"/>
      <c r="K111" s="181"/>
      <c r="O111" s="139"/>
      <c r="P111" s="139"/>
      <c r="Q111" s="142"/>
      <c r="R111" s="141"/>
      <c r="T111" s="141"/>
      <c r="U111" s="141"/>
    </row>
    <row r="112" spans="1:21" x14ac:dyDescent="0.2">
      <c r="A112" s="191"/>
      <c r="G112" s="180"/>
      <c r="H112" s="180"/>
      <c r="I112" s="180"/>
      <c r="J112" s="180"/>
      <c r="K112" s="181"/>
      <c r="O112" s="139"/>
      <c r="P112" s="139"/>
      <c r="Q112" s="142"/>
      <c r="R112" s="141"/>
      <c r="T112" s="141"/>
      <c r="U112" s="141"/>
    </row>
    <row r="113" spans="1:21" x14ac:dyDescent="0.2">
      <c r="A113" s="191"/>
      <c r="G113" s="180"/>
      <c r="H113" s="180"/>
      <c r="I113" s="180"/>
      <c r="J113" s="180"/>
      <c r="K113" s="181"/>
      <c r="M113" s="180"/>
      <c r="N113" s="180"/>
      <c r="O113" s="139"/>
      <c r="P113" s="139"/>
      <c r="Q113" s="142"/>
      <c r="R113" s="141"/>
      <c r="T113" s="141"/>
      <c r="U113" s="141"/>
    </row>
    <row r="114" spans="1:21" x14ac:dyDescent="0.2">
      <c r="A114" s="191"/>
      <c r="G114" s="180"/>
      <c r="H114" s="180"/>
      <c r="I114" s="180"/>
      <c r="J114" s="180"/>
      <c r="K114" s="181"/>
      <c r="M114" s="180"/>
      <c r="N114" s="180"/>
      <c r="O114" s="139"/>
      <c r="P114" s="139"/>
      <c r="Q114" s="142"/>
      <c r="R114" s="141"/>
      <c r="T114" s="141"/>
      <c r="U114" s="141"/>
    </row>
    <row r="115" spans="1:21" x14ac:dyDescent="0.2">
      <c r="A115" s="191"/>
      <c r="G115" s="180"/>
      <c r="H115" s="180"/>
      <c r="I115" s="180"/>
      <c r="J115" s="180"/>
      <c r="K115" s="181"/>
      <c r="L115" s="189"/>
      <c r="M115" s="190"/>
      <c r="N115" s="190"/>
      <c r="O115" s="139"/>
      <c r="P115" s="139"/>
      <c r="Q115" s="142"/>
      <c r="R115" s="141"/>
      <c r="T115" s="141"/>
      <c r="U115" s="141"/>
    </row>
    <row r="116" spans="1:21" x14ac:dyDescent="0.2">
      <c r="A116" s="191"/>
      <c r="G116" s="180"/>
      <c r="H116" s="180"/>
      <c r="I116" s="180"/>
      <c r="J116" s="180"/>
      <c r="K116" s="181"/>
      <c r="O116" s="139"/>
      <c r="P116" s="139"/>
      <c r="Q116" s="142"/>
      <c r="R116" s="141"/>
      <c r="T116" s="141"/>
      <c r="U116" s="141"/>
    </row>
    <row r="117" spans="1:21" x14ac:dyDescent="0.2">
      <c r="A117" s="191"/>
      <c r="G117" s="180"/>
      <c r="H117" s="180"/>
      <c r="I117" s="180"/>
      <c r="J117" s="180"/>
      <c r="K117" s="181"/>
      <c r="M117" s="180"/>
      <c r="N117" s="180"/>
      <c r="O117" s="139"/>
      <c r="P117" s="139"/>
      <c r="Q117" s="142"/>
      <c r="R117" s="141"/>
      <c r="T117" s="141"/>
      <c r="U117" s="141"/>
    </row>
    <row r="118" spans="1:21" x14ac:dyDescent="0.2">
      <c r="A118" s="191"/>
      <c r="G118" s="180"/>
      <c r="H118" s="180"/>
      <c r="I118" s="180"/>
      <c r="J118" s="180"/>
      <c r="K118" s="181"/>
      <c r="M118" s="180"/>
      <c r="N118" s="180"/>
      <c r="O118" s="139"/>
      <c r="P118" s="139"/>
      <c r="Q118" s="142"/>
      <c r="R118" s="141"/>
      <c r="T118" s="141"/>
      <c r="U118" s="141"/>
    </row>
    <row r="119" spans="1:21" x14ac:dyDescent="0.2">
      <c r="A119" s="191"/>
      <c r="G119" s="180"/>
      <c r="H119" s="180"/>
      <c r="I119" s="180"/>
      <c r="J119" s="180"/>
      <c r="K119" s="181"/>
      <c r="L119" s="189"/>
      <c r="M119" s="192"/>
      <c r="N119" s="192"/>
      <c r="O119" s="139"/>
      <c r="P119" s="139"/>
      <c r="Q119" s="142"/>
      <c r="R119" s="141"/>
      <c r="T119" s="141"/>
      <c r="U119" s="141"/>
    </row>
    <row r="120" spans="1:21" x14ac:dyDescent="0.2">
      <c r="A120" s="191"/>
      <c r="D120" s="193"/>
      <c r="E120" s="193"/>
      <c r="F120" s="193"/>
      <c r="G120" s="193"/>
      <c r="H120" s="193"/>
      <c r="I120" s="193"/>
      <c r="J120" s="193"/>
      <c r="K120" s="194"/>
      <c r="L120" s="195"/>
      <c r="M120" s="196"/>
      <c r="N120" s="196"/>
      <c r="O120" s="139"/>
      <c r="P120" s="139"/>
      <c r="Q120" s="142"/>
      <c r="R120" s="141"/>
      <c r="T120" s="141"/>
      <c r="U120" s="141"/>
    </row>
    <row r="121" spans="1:21" x14ac:dyDescent="0.2">
      <c r="A121" s="111"/>
      <c r="D121" s="193"/>
      <c r="E121" s="193"/>
      <c r="F121" s="193"/>
      <c r="G121" s="193"/>
      <c r="H121" s="193"/>
      <c r="I121" s="193"/>
      <c r="J121" s="193"/>
      <c r="K121" s="194"/>
      <c r="L121" s="195"/>
      <c r="M121" s="196"/>
      <c r="N121" s="196"/>
      <c r="O121" s="139"/>
      <c r="P121" s="139"/>
      <c r="Q121" s="142"/>
      <c r="R121" s="141"/>
      <c r="T121" s="141"/>
      <c r="U121" s="141"/>
    </row>
    <row r="122" spans="1:21" x14ac:dyDescent="0.2">
      <c r="A122" s="111"/>
      <c r="D122" s="193"/>
      <c r="E122" s="193"/>
      <c r="F122" s="193"/>
      <c r="G122" s="193"/>
      <c r="H122" s="193"/>
      <c r="I122" s="193"/>
      <c r="J122" s="193"/>
      <c r="K122" s="194"/>
      <c r="L122" s="195"/>
      <c r="M122" s="196"/>
      <c r="N122" s="196"/>
      <c r="O122" s="139"/>
      <c r="P122" s="139"/>
      <c r="Q122" s="142"/>
      <c r="R122" s="141"/>
      <c r="T122" s="141"/>
      <c r="U122" s="141"/>
    </row>
    <row r="123" spans="1:21" x14ac:dyDescent="0.2">
      <c r="A123" s="111"/>
      <c r="D123" s="193"/>
      <c r="E123" s="193"/>
      <c r="F123" s="193"/>
      <c r="G123" s="193"/>
      <c r="H123" s="193"/>
      <c r="I123" s="193"/>
      <c r="J123" s="193"/>
      <c r="K123" s="194"/>
      <c r="L123" s="195"/>
      <c r="M123" s="196"/>
      <c r="N123" s="196"/>
      <c r="O123" s="139"/>
      <c r="P123" s="139"/>
      <c r="Q123" s="142"/>
      <c r="R123" s="141"/>
      <c r="T123" s="141"/>
      <c r="U123" s="141"/>
    </row>
    <row r="124" spans="1:21" x14ac:dyDescent="0.2">
      <c r="A124" s="111"/>
      <c r="D124" s="193"/>
      <c r="E124" s="193"/>
      <c r="F124" s="193"/>
      <c r="G124" s="193"/>
      <c r="H124" s="193"/>
      <c r="I124" s="193"/>
      <c r="J124" s="193"/>
      <c r="K124" s="194"/>
      <c r="L124" s="195"/>
      <c r="M124" s="196"/>
      <c r="N124" s="196"/>
      <c r="O124" s="139"/>
      <c r="P124" s="139"/>
      <c r="Q124" s="142"/>
      <c r="R124" s="141"/>
      <c r="T124" s="141"/>
      <c r="U124" s="141"/>
    </row>
    <row r="125" spans="1:21" x14ac:dyDescent="0.2">
      <c r="A125" s="111"/>
      <c r="G125" s="180"/>
      <c r="H125" s="180"/>
      <c r="I125" s="180"/>
      <c r="J125" s="180"/>
      <c r="K125" s="181"/>
      <c r="L125" s="189"/>
      <c r="M125" s="192"/>
      <c r="N125" s="192"/>
      <c r="O125" s="139"/>
      <c r="P125" s="139"/>
      <c r="Q125" s="142"/>
      <c r="R125" s="141"/>
      <c r="T125" s="141"/>
      <c r="U125" s="141"/>
    </row>
    <row r="126" spans="1:21" x14ac:dyDescent="0.2">
      <c r="A126" s="179"/>
      <c r="G126" s="180"/>
      <c r="H126" s="180"/>
      <c r="I126" s="180"/>
      <c r="J126" s="180"/>
      <c r="K126" s="181"/>
      <c r="L126" s="197"/>
      <c r="M126" s="192"/>
      <c r="N126" s="192"/>
      <c r="O126" s="139"/>
      <c r="P126" s="141"/>
      <c r="Q126" s="141"/>
      <c r="R126" s="141"/>
      <c r="T126" s="141"/>
      <c r="U126" s="141"/>
    </row>
    <row r="127" spans="1:21" x14ac:dyDescent="0.2">
      <c r="A127" s="191"/>
      <c r="G127" s="180"/>
      <c r="H127" s="180"/>
      <c r="I127" s="180"/>
      <c r="J127" s="180"/>
      <c r="K127" s="181"/>
      <c r="O127" s="139"/>
      <c r="P127" s="142"/>
      <c r="Q127" s="141"/>
      <c r="R127" s="141"/>
      <c r="T127" s="141"/>
      <c r="U127" s="141"/>
    </row>
    <row r="128" spans="1:21" x14ac:dyDescent="0.2">
      <c r="A128" s="191"/>
      <c r="G128" s="180"/>
      <c r="H128" s="180"/>
      <c r="I128" s="180"/>
      <c r="J128" s="180"/>
      <c r="K128" s="181"/>
      <c r="O128" s="139"/>
      <c r="P128" s="142"/>
      <c r="Q128" s="141"/>
      <c r="R128" s="141"/>
      <c r="T128" s="141"/>
      <c r="U128" s="141"/>
    </row>
    <row r="129" spans="1:21" x14ac:dyDescent="0.2">
      <c r="A129" s="191"/>
      <c r="B129" s="120" t="s">
        <v>198</v>
      </c>
      <c r="C129" s="120" t="s">
        <v>199</v>
      </c>
      <c r="D129" s="120" t="s">
        <v>200</v>
      </c>
      <c r="E129" s="120" t="s">
        <v>201</v>
      </c>
      <c r="F129" s="120" t="s">
        <v>201</v>
      </c>
      <c r="G129" s="180" t="s">
        <v>104</v>
      </c>
      <c r="H129" s="180" t="s">
        <v>202</v>
      </c>
      <c r="I129" s="180" t="s">
        <v>202</v>
      </c>
      <c r="J129" s="180" t="s">
        <v>203</v>
      </c>
      <c r="K129" s="181" t="s">
        <v>204</v>
      </c>
      <c r="L129" s="120" t="s">
        <v>205</v>
      </c>
      <c r="M129" s="120" t="s">
        <v>205</v>
      </c>
      <c r="N129" s="120" t="s">
        <v>205</v>
      </c>
      <c r="O129" s="139" t="s">
        <v>206</v>
      </c>
      <c r="P129" s="142"/>
      <c r="Q129" s="141"/>
      <c r="R129" s="141"/>
      <c r="T129" s="141"/>
      <c r="U129" s="141"/>
    </row>
    <row r="130" spans="1:21" x14ac:dyDescent="0.2">
      <c r="A130" s="191" t="s">
        <v>207</v>
      </c>
      <c r="B130" s="120" t="s">
        <v>208</v>
      </c>
      <c r="C130" s="120" t="s">
        <v>208</v>
      </c>
      <c r="D130" s="120" t="s">
        <v>208</v>
      </c>
      <c r="E130" s="120" t="s">
        <v>208</v>
      </c>
      <c r="F130" s="120" t="s">
        <v>208</v>
      </c>
      <c r="G130" s="180" t="s">
        <v>59</v>
      </c>
      <c r="H130" s="180" t="s">
        <v>59</v>
      </c>
      <c r="I130" s="180" t="s">
        <v>59</v>
      </c>
      <c r="J130" s="180" t="s">
        <v>209</v>
      </c>
      <c r="K130" s="181" t="s">
        <v>5</v>
      </c>
      <c r="L130" s="120" t="s">
        <v>210</v>
      </c>
      <c r="M130" s="120" t="s">
        <v>211</v>
      </c>
      <c r="N130" s="120" t="s">
        <v>211</v>
      </c>
      <c r="O130" s="139"/>
      <c r="P130" s="142"/>
      <c r="Q130" s="141"/>
      <c r="R130" s="141"/>
      <c r="T130" s="141"/>
      <c r="U130" s="141"/>
    </row>
    <row r="131" spans="1:21" x14ac:dyDescent="0.2">
      <c r="A131" s="191"/>
      <c r="B131" s="120">
        <v>1.2</v>
      </c>
      <c r="C131" s="120">
        <v>0.3</v>
      </c>
      <c r="D131" s="120">
        <v>10.69</v>
      </c>
      <c r="E131" s="120">
        <v>1.5</v>
      </c>
      <c r="F131" s="120">
        <v>1.5</v>
      </c>
      <c r="G131" s="180">
        <f>B131*D131*F131</f>
        <v>19.241999999999997</v>
      </c>
      <c r="H131" s="180">
        <f>F131-I131</f>
        <v>-13.893599999999998</v>
      </c>
      <c r="I131" s="180">
        <f>G131-J131</f>
        <v>15.393599999999998</v>
      </c>
      <c r="J131" s="180">
        <f>B131*C131*D131</f>
        <v>3.8483999999999998</v>
      </c>
      <c r="K131" s="181">
        <f>C131*2*D131</f>
        <v>6.4139999999999997</v>
      </c>
      <c r="L131" s="189">
        <f>D131/0.4+1</f>
        <v>27.724999999999998</v>
      </c>
      <c r="M131" s="189">
        <f>A131/0.3+1</f>
        <v>1</v>
      </c>
      <c r="N131" s="189">
        <f>B131/0.3+1</f>
        <v>5</v>
      </c>
      <c r="O131" s="139"/>
      <c r="P131" s="142"/>
      <c r="Q131" s="141"/>
      <c r="R131" s="141"/>
      <c r="T131" s="141"/>
      <c r="U131" s="141"/>
    </row>
    <row r="132" spans="1:21" x14ac:dyDescent="0.2">
      <c r="A132" s="191"/>
      <c r="B132" s="120">
        <v>0.25</v>
      </c>
      <c r="C132" s="120">
        <v>0.2</v>
      </c>
      <c r="D132" s="120">
        <v>10.69</v>
      </c>
      <c r="G132" s="180">
        <f>B132*C132*D132</f>
        <v>0.53449999999999998</v>
      </c>
      <c r="H132" s="180"/>
      <c r="I132" s="180"/>
      <c r="J132" s="180">
        <f>B132*C132*D132</f>
        <v>0.53449999999999998</v>
      </c>
      <c r="K132" s="181"/>
      <c r="O132" s="139"/>
      <c r="P132" s="141"/>
      <c r="Q132" s="141"/>
      <c r="R132" s="141"/>
      <c r="T132" s="141"/>
      <c r="U132" s="141"/>
    </row>
    <row r="133" spans="1:21" x14ac:dyDescent="0.2">
      <c r="A133" s="191"/>
      <c r="G133" s="180">
        <f>SUM(G131:G132)</f>
        <v>19.776499999999999</v>
      </c>
      <c r="H133" s="180">
        <f>SUM(H131:H132)</f>
        <v>-13.893599999999998</v>
      </c>
      <c r="I133" s="180">
        <f>SUM(I131:I132)</f>
        <v>15.393599999999998</v>
      </c>
      <c r="J133" s="180">
        <f>SUM(J131:J132)</f>
        <v>4.3828999999999994</v>
      </c>
      <c r="K133" s="181">
        <f>SUM(K131:K132)</f>
        <v>6.4139999999999997</v>
      </c>
      <c r="O133" s="139"/>
      <c r="P133" s="141"/>
      <c r="Q133" s="141"/>
      <c r="R133" s="141"/>
      <c r="T133" s="141"/>
      <c r="U133" s="141"/>
    </row>
    <row r="134" spans="1:21" x14ac:dyDescent="0.2">
      <c r="A134" s="191"/>
      <c r="G134" s="180"/>
      <c r="H134" s="180"/>
      <c r="I134" s="180"/>
      <c r="J134" s="180"/>
      <c r="K134" s="181"/>
      <c r="O134" s="139" t="s">
        <v>213</v>
      </c>
      <c r="P134" s="141"/>
      <c r="Q134" s="141"/>
      <c r="R134" s="141"/>
      <c r="T134" s="141"/>
      <c r="U134" s="141"/>
    </row>
    <row r="135" spans="1:21" x14ac:dyDescent="0.2">
      <c r="A135" s="191" t="s">
        <v>214</v>
      </c>
      <c r="B135" s="120" t="s">
        <v>198</v>
      </c>
      <c r="C135" s="120" t="s">
        <v>199</v>
      </c>
      <c r="D135" s="120" t="s">
        <v>200</v>
      </c>
      <c r="E135" s="120" t="s">
        <v>201</v>
      </c>
      <c r="F135" s="120" t="s">
        <v>201</v>
      </c>
      <c r="G135" s="180" t="s">
        <v>104</v>
      </c>
      <c r="H135" s="180" t="s">
        <v>202</v>
      </c>
      <c r="I135" s="180" t="s">
        <v>202</v>
      </c>
      <c r="J135" s="180" t="s">
        <v>203</v>
      </c>
      <c r="K135" s="181" t="s">
        <v>204</v>
      </c>
      <c r="L135" s="120" t="s">
        <v>205</v>
      </c>
      <c r="M135" s="180" t="s">
        <v>215</v>
      </c>
      <c r="N135" s="180" t="s">
        <v>215</v>
      </c>
      <c r="O135" s="139" t="s">
        <v>217</v>
      </c>
      <c r="P135" s="139" t="s">
        <v>218</v>
      </c>
      <c r="Q135" s="141"/>
      <c r="R135" s="141"/>
      <c r="T135" s="141"/>
      <c r="U135" s="141"/>
    </row>
    <row r="136" spans="1:21" x14ac:dyDescent="0.2">
      <c r="A136" s="191"/>
      <c r="B136" s="120" t="s">
        <v>208</v>
      </c>
      <c r="C136" s="120" t="s">
        <v>208</v>
      </c>
      <c r="D136" s="120" t="s">
        <v>208</v>
      </c>
      <c r="E136" s="120" t="s">
        <v>208</v>
      </c>
      <c r="F136" s="120" t="s">
        <v>208</v>
      </c>
      <c r="G136" s="180" t="s">
        <v>59</v>
      </c>
      <c r="H136" s="180" t="s">
        <v>59</v>
      </c>
      <c r="I136" s="180" t="s">
        <v>59</v>
      </c>
      <c r="J136" s="180" t="s">
        <v>209</v>
      </c>
      <c r="K136" s="181" t="s">
        <v>5</v>
      </c>
      <c r="L136" s="120" t="s">
        <v>219</v>
      </c>
      <c r="M136" s="180" t="s">
        <v>220</v>
      </c>
      <c r="N136" s="180" t="s">
        <v>220</v>
      </c>
      <c r="O136" s="139" t="s">
        <v>5</v>
      </c>
      <c r="P136" s="139" t="s">
        <v>221</v>
      </c>
      <c r="Q136" s="141"/>
      <c r="R136" s="141"/>
      <c r="T136" s="141"/>
      <c r="U136" s="141"/>
    </row>
    <row r="137" spans="1:21" x14ac:dyDescent="0.2">
      <c r="A137" s="191"/>
      <c r="B137" s="120">
        <v>0.3</v>
      </c>
      <c r="C137" s="120">
        <v>3.65</v>
      </c>
      <c r="D137" s="120">
        <v>10.69</v>
      </c>
      <c r="G137" s="180">
        <f>(B137+2)*C137*D137</f>
        <v>89.742549999999994</v>
      </c>
      <c r="H137" s="180">
        <f>F137-I137</f>
        <v>-78.036999999999992</v>
      </c>
      <c r="I137" s="180">
        <f>G137-J137</f>
        <v>78.036999999999992</v>
      </c>
      <c r="J137" s="180">
        <f>B137*C137*D137</f>
        <v>11.705549999999999</v>
      </c>
      <c r="K137" s="181">
        <f>C137*2*D137</f>
        <v>78.036999999999992</v>
      </c>
      <c r="L137" s="189">
        <f>D137/0.2+1</f>
        <v>54.449999999999996</v>
      </c>
      <c r="M137" s="190">
        <f>(B137+0.7)*K137*3.28*0.668/2000</f>
        <v>8.5491094239999996E-2</v>
      </c>
      <c r="N137" s="190">
        <f>(C137+0.7)*L137*3.28*0.668/2000</f>
        <v>0.25948212839999996</v>
      </c>
      <c r="O137" s="139" t="e">
        <f>#REF!</f>
        <v>#REF!</v>
      </c>
      <c r="P137" s="154">
        <f>D137/10+2</f>
        <v>3.069</v>
      </c>
      <c r="Q137" s="141"/>
      <c r="R137" s="141"/>
      <c r="T137" s="141"/>
      <c r="U137" s="141"/>
    </row>
    <row r="138" spans="1:21" x14ac:dyDescent="0.2">
      <c r="A138" s="191"/>
      <c r="D138" s="120">
        <v>10.69</v>
      </c>
      <c r="G138" s="180"/>
      <c r="H138" s="180"/>
      <c r="I138" s="180"/>
      <c r="J138" s="180"/>
      <c r="K138" s="181"/>
      <c r="O138" s="139"/>
      <c r="P138" s="141"/>
      <c r="Q138" s="141"/>
      <c r="R138" s="141"/>
      <c r="T138" s="141"/>
      <c r="U138" s="141"/>
    </row>
    <row r="139" spans="1:21" x14ac:dyDescent="0.2">
      <c r="A139" s="191" t="s">
        <v>222</v>
      </c>
      <c r="B139" s="120" t="s">
        <v>198</v>
      </c>
      <c r="C139" s="120" t="s">
        <v>199</v>
      </c>
      <c r="D139" s="120" t="s">
        <v>200</v>
      </c>
      <c r="E139" s="120" t="s">
        <v>201</v>
      </c>
      <c r="F139" s="120" t="s">
        <v>201</v>
      </c>
      <c r="G139" s="180" t="s">
        <v>223</v>
      </c>
      <c r="H139" s="180" t="s">
        <v>224</v>
      </c>
      <c r="I139" s="180" t="s">
        <v>224</v>
      </c>
      <c r="J139" s="180" t="s">
        <v>203</v>
      </c>
      <c r="K139" s="181" t="s">
        <v>204</v>
      </c>
      <c r="L139" s="120" t="s">
        <v>205</v>
      </c>
      <c r="M139" s="180" t="s">
        <v>215</v>
      </c>
      <c r="N139" s="180" t="s">
        <v>215</v>
      </c>
      <c r="O139" s="139" t="s">
        <v>226</v>
      </c>
      <c r="P139" s="141"/>
      <c r="Q139" s="141"/>
      <c r="R139" s="141"/>
      <c r="T139" s="141"/>
      <c r="U139" s="141"/>
    </row>
    <row r="140" spans="1:21" x14ac:dyDescent="0.2">
      <c r="A140" s="191"/>
      <c r="B140" s="120" t="s">
        <v>208</v>
      </c>
      <c r="C140" s="120" t="s">
        <v>208</v>
      </c>
      <c r="D140" s="120" t="s">
        <v>208</v>
      </c>
      <c r="E140" s="120" t="s">
        <v>208</v>
      </c>
      <c r="F140" s="120" t="s">
        <v>208</v>
      </c>
      <c r="G140" s="180" t="s">
        <v>59</v>
      </c>
      <c r="H140" s="180" t="s">
        <v>27</v>
      </c>
      <c r="I140" s="180" t="s">
        <v>27</v>
      </c>
      <c r="J140" s="180" t="s">
        <v>209</v>
      </c>
      <c r="K140" s="181" t="s">
        <v>5</v>
      </c>
      <c r="L140" s="120" t="s">
        <v>227</v>
      </c>
      <c r="M140" s="180" t="s">
        <v>220</v>
      </c>
      <c r="N140" s="180" t="s">
        <v>220</v>
      </c>
      <c r="O140" s="139" t="s">
        <v>5</v>
      </c>
      <c r="P140" s="141"/>
      <c r="Q140" s="141"/>
      <c r="R140" s="141"/>
      <c r="T140" s="141"/>
      <c r="U140" s="141"/>
    </row>
    <row r="141" spans="1:21" x14ac:dyDescent="0.2">
      <c r="A141" s="191"/>
      <c r="B141" s="120">
        <v>0</v>
      </c>
      <c r="C141" s="120">
        <v>0</v>
      </c>
      <c r="D141" s="120">
        <v>10.69</v>
      </c>
      <c r="E141" s="120">
        <v>0</v>
      </c>
      <c r="F141" s="120">
        <v>0</v>
      </c>
      <c r="G141" s="180">
        <f>0.3*0.6*D141</f>
        <v>1.9241999999999999</v>
      </c>
      <c r="H141" s="180">
        <f>C141</f>
        <v>0</v>
      </c>
      <c r="I141" s="180">
        <f>D141</f>
        <v>10.69</v>
      </c>
      <c r="J141" s="180">
        <f>B141*C141*D141</f>
        <v>0</v>
      </c>
      <c r="K141" s="181">
        <f>C141*2*D141</f>
        <v>0</v>
      </c>
      <c r="L141" s="189">
        <v>2</v>
      </c>
      <c r="M141" s="192">
        <f>C141*K141*3.28*0.668/2000</f>
        <v>0</v>
      </c>
      <c r="N141" s="192">
        <f>D141*L141*3.28*0.668/2000</f>
        <v>2.3422217599999996E-2</v>
      </c>
      <c r="O141" s="139"/>
      <c r="P141" s="141"/>
      <c r="Q141" s="141"/>
      <c r="R141" s="140"/>
      <c r="T141" s="141"/>
      <c r="U141" s="141"/>
    </row>
    <row r="142" spans="1:21" x14ac:dyDescent="0.2">
      <c r="A142" s="179"/>
      <c r="E142" s="193" t="s">
        <v>228</v>
      </c>
      <c r="F142" s="193" t="s">
        <v>228</v>
      </c>
      <c r="G142" s="193">
        <f>G137+G133</f>
        <v>109.51904999999999</v>
      </c>
      <c r="H142" s="193">
        <f>H137+H133</f>
        <v>-91.930599999999984</v>
      </c>
      <c r="I142" s="193">
        <f>I137+I133</f>
        <v>93.430599999999984</v>
      </c>
      <c r="J142" s="193">
        <f>J141+J137+J133</f>
        <v>16.088449999999998</v>
      </c>
      <c r="K142" s="194">
        <f>K141+K137+K133</f>
        <v>84.450999999999993</v>
      </c>
      <c r="L142" s="195" t="s">
        <v>229</v>
      </c>
      <c r="M142" s="196" t="e">
        <f>#REF!+M137+#REF!+M141+#REF!</f>
        <v>#REF!</v>
      </c>
      <c r="N142" s="196" t="e">
        <f>#REF!+N137+#REF!+N141+#REF!</f>
        <v>#REF!</v>
      </c>
      <c r="O142" s="139"/>
      <c r="P142" s="141"/>
      <c r="Q142" s="141"/>
      <c r="R142" s="140"/>
      <c r="T142" s="141"/>
      <c r="U142" s="141"/>
    </row>
    <row r="143" spans="1:21" x14ac:dyDescent="0.2">
      <c r="A143" s="179"/>
      <c r="G143" s="180"/>
      <c r="H143" s="180"/>
      <c r="I143" s="180"/>
      <c r="J143" s="180"/>
      <c r="K143" s="181"/>
      <c r="L143" s="197"/>
      <c r="M143" s="192"/>
      <c r="N143" s="192"/>
      <c r="O143" s="139"/>
      <c r="P143" s="141"/>
      <c r="Q143" s="141"/>
      <c r="R143" s="140"/>
      <c r="T143" s="141"/>
      <c r="U143" s="141"/>
    </row>
    <row r="144" spans="1:21" x14ac:dyDescent="0.2">
      <c r="A144" s="191" t="s">
        <v>231</v>
      </c>
      <c r="G144" s="180"/>
      <c r="H144" s="180"/>
      <c r="I144" s="180"/>
      <c r="J144" s="180"/>
      <c r="K144" s="181"/>
      <c r="L144" s="197"/>
      <c r="M144" s="192"/>
      <c r="N144" s="192"/>
      <c r="O144" s="139"/>
      <c r="P144" s="141"/>
      <c r="Q144" s="141"/>
      <c r="R144" s="140"/>
      <c r="T144" s="141"/>
      <c r="U144" s="141"/>
    </row>
    <row r="145" spans="1:23" x14ac:dyDescent="0.2">
      <c r="A145" s="191" t="s">
        <v>232</v>
      </c>
      <c r="G145" s="180"/>
      <c r="H145" s="180"/>
      <c r="I145" s="180"/>
      <c r="J145" s="180"/>
      <c r="K145" s="181"/>
      <c r="O145" s="139"/>
      <c r="P145" s="139"/>
      <c r="Q145" s="139"/>
      <c r="R145" s="140"/>
      <c r="T145" s="141"/>
      <c r="U145" s="141"/>
    </row>
    <row r="146" spans="1:23" x14ac:dyDescent="0.2">
      <c r="A146" s="191"/>
      <c r="B146" s="120" t="s">
        <v>198</v>
      </c>
      <c r="C146" s="120" t="s">
        <v>199</v>
      </c>
      <c r="D146" s="120" t="s">
        <v>200</v>
      </c>
      <c r="E146" s="120" t="s">
        <v>201</v>
      </c>
      <c r="F146" s="120" t="s">
        <v>201</v>
      </c>
      <c r="G146" s="180" t="s">
        <v>104</v>
      </c>
      <c r="H146" s="180" t="s">
        <v>202</v>
      </c>
      <c r="I146" s="180" t="s">
        <v>202</v>
      </c>
      <c r="J146" s="180" t="s">
        <v>203</v>
      </c>
      <c r="K146" s="181" t="s">
        <v>204</v>
      </c>
      <c r="L146" s="120" t="s">
        <v>205</v>
      </c>
      <c r="M146" s="120" t="s">
        <v>205</v>
      </c>
      <c r="N146" s="120" t="s">
        <v>205</v>
      </c>
      <c r="O146" s="139" t="s">
        <v>206</v>
      </c>
      <c r="P146" s="139"/>
      <c r="Q146" s="139"/>
      <c r="R146" s="140"/>
      <c r="T146" s="141"/>
      <c r="U146" s="141"/>
    </row>
    <row r="147" spans="1:23" x14ac:dyDescent="0.2">
      <c r="A147" s="191" t="s">
        <v>207</v>
      </c>
      <c r="B147" s="120" t="s">
        <v>208</v>
      </c>
      <c r="C147" s="120" t="s">
        <v>208</v>
      </c>
      <c r="D147" s="120" t="s">
        <v>208</v>
      </c>
      <c r="E147" s="120" t="s">
        <v>208</v>
      </c>
      <c r="F147" s="120" t="s">
        <v>208</v>
      </c>
      <c r="G147" s="180" t="s">
        <v>59</v>
      </c>
      <c r="H147" s="180" t="s">
        <v>59</v>
      </c>
      <c r="I147" s="180" t="s">
        <v>59</v>
      </c>
      <c r="J147" s="180" t="s">
        <v>209</v>
      </c>
      <c r="K147" s="181" t="s">
        <v>5</v>
      </c>
      <c r="L147" s="120" t="s">
        <v>210</v>
      </c>
      <c r="M147" s="120" t="s">
        <v>211</v>
      </c>
      <c r="N147" s="120" t="s">
        <v>211</v>
      </c>
      <c r="O147" s="139"/>
      <c r="P147" s="139"/>
      <c r="Q147" s="139"/>
      <c r="R147" s="140"/>
      <c r="T147" s="141"/>
      <c r="U147" s="141"/>
    </row>
    <row r="148" spans="1:23" x14ac:dyDescent="0.2">
      <c r="A148" s="191"/>
      <c r="B148" s="120">
        <v>1.2</v>
      </c>
      <c r="C148" s="120">
        <v>0.3</v>
      </c>
      <c r="D148" s="120">
        <v>25.42</v>
      </c>
      <c r="E148" s="120">
        <v>1.5</v>
      </c>
      <c r="F148" s="120">
        <v>1.5</v>
      </c>
      <c r="G148" s="180">
        <f>B148*D148*F148</f>
        <v>45.756</v>
      </c>
      <c r="H148" s="180">
        <f>F148-I148</f>
        <v>-35.104799999999997</v>
      </c>
      <c r="I148" s="180">
        <f>G148-J148</f>
        <v>36.604799999999997</v>
      </c>
      <c r="J148" s="180">
        <f>B148*C148*D148</f>
        <v>9.1512000000000011</v>
      </c>
      <c r="K148" s="181">
        <f>C148*2*D148</f>
        <v>15.252000000000001</v>
      </c>
      <c r="L148" s="189">
        <f>D148/0.4+1</f>
        <v>64.550000000000011</v>
      </c>
      <c r="M148" s="189">
        <f>A148/0.3+1</f>
        <v>1</v>
      </c>
      <c r="N148" s="189">
        <f>B148/0.3+1</f>
        <v>5</v>
      </c>
      <c r="O148" s="139"/>
      <c r="P148" s="139"/>
      <c r="Q148" s="139"/>
    </row>
    <row r="149" spans="1:23" x14ac:dyDescent="0.2">
      <c r="A149" s="191"/>
      <c r="B149" s="120">
        <v>0.25</v>
      </c>
      <c r="C149" s="120">
        <v>0.2</v>
      </c>
      <c r="D149" s="120">
        <v>25.42</v>
      </c>
      <c r="G149" s="180">
        <f>B149*C149*D149</f>
        <v>1.2710000000000001</v>
      </c>
      <c r="H149" s="180"/>
      <c r="I149" s="180"/>
      <c r="J149" s="180">
        <f>B149*C149*D149</f>
        <v>1.2710000000000001</v>
      </c>
      <c r="K149" s="181"/>
      <c r="O149" s="139"/>
      <c r="P149" s="139"/>
      <c r="Q149" s="139"/>
    </row>
    <row r="150" spans="1:23" x14ac:dyDescent="0.2">
      <c r="A150" s="191"/>
      <c r="G150" s="180">
        <f>SUM(G148:G149)</f>
        <v>47.027000000000001</v>
      </c>
      <c r="H150" s="180">
        <f>SUM(H148:H149)</f>
        <v>-35.104799999999997</v>
      </c>
      <c r="I150" s="180">
        <f>SUM(I148:I149)</f>
        <v>36.604799999999997</v>
      </c>
      <c r="J150" s="180">
        <f>SUM(J148:J149)</f>
        <v>10.422200000000002</v>
      </c>
      <c r="K150" s="181">
        <f>SUM(K148:K149)</f>
        <v>15.252000000000001</v>
      </c>
      <c r="O150" s="139"/>
      <c r="P150" s="139"/>
      <c r="Q150" s="139"/>
      <c r="R150" s="111"/>
      <c r="S150" s="111"/>
      <c r="T150" s="111"/>
      <c r="U150" s="111"/>
      <c r="V150" s="111"/>
      <c r="W150" s="111"/>
    </row>
    <row r="151" spans="1:23" x14ac:dyDescent="0.2">
      <c r="A151" s="191"/>
      <c r="G151" s="180"/>
      <c r="H151" s="180"/>
      <c r="I151" s="180"/>
      <c r="J151" s="180"/>
      <c r="K151" s="181"/>
      <c r="O151" s="139" t="s">
        <v>213</v>
      </c>
      <c r="P151" s="139"/>
      <c r="Q151" s="139"/>
      <c r="R151" s="111"/>
      <c r="S151" s="111"/>
      <c r="T151" s="111"/>
      <c r="U151" s="111"/>
      <c r="V151" s="111"/>
      <c r="W151" s="111"/>
    </row>
    <row r="152" spans="1:23" x14ac:dyDescent="0.2">
      <c r="A152" s="191" t="s">
        <v>214</v>
      </c>
      <c r="B152" s="120" t="s">
        <v>198</v>
      </c>
      <c r="C152" s="120" t="s">
        <v>199</v>
      </c>
      <c r="D152" s="120" t="s">
        <v>200</v>
      </c>
      <c r="E152" s="120" t="s">
        <v>201</v>
      </c>
      <c r="F152" s="120" t="s">
        <v>201</v>
      </c>
      <c r="G152" s="180" t="s">
        <v>104</v>
      </c>
      <c r="H152" s="180" t="s">
        <v>202</v>
      </c>
      <c r="I152" s="180" t="s">
        <v>202</v>
      </c>
      <c r="J152" s="180" t="s">
        <v>203</v>
      </c>
      <c r="K152" s="181" t="s">
        <v>204</v>
      </c>
      <c r="L152" s="120" t="s">
        <v>205</v>
      </c>
      <c r="M152" s="180" t="s">
        <v>215</v>
      </c>
      <c r="N152" s="180" t="s">
        <v>215</v>
      </c>
      <c r="O152" s="139" t="s">
        <v>217</v>
      </c>
      <c r="P152" s="139" t="s">
        <v>218</v>
      </c>
      <c r="Q152" s="139"/>
      <c r="R152" s="138"/>
      <c r="S152" s="141"/>
    </row>
    <row r="153" spans="1:23" x14ac:dyDescent="0.2">
      <c r="A153" s="191"/>
      <c r="B153" s="120" t="s">
        <v>208</v>
      </c>
      <c r="C153" s="120" t="s">
        <v>208</v>
      </c>
      <c r="D153" s="120" t="s">
        <v>208</v>
      </c>
      <c r="E153" s="120" t="s">
        <v>208</v>
      </c>
      <c r="F153" s="120" t="s">
        <v>208</v>
      </c>
      <c r="G153" s="180" t="s">
        <v>59</v>
      </c>
      <c r="H153" s="180" t="s">
        <v>59</v>
      </c>
      <c r="I153" s="180" t="s">
        <v>59</v>
      </c>
      <c r="J153" s="180" t="s">
        <v>209</v>
      </c>
      <c r="K153" s="181" t="s">
        <v>5</v>
      </c>
      <c r="L153" s="120" t="s">
        <v>219</v>
      </c>
      <c r="M153" s="180" t="s">
        <v>220</v>
      </c>
      <c r="N153" s="180" t="s">
        <v>220</v>
      </c>
      <c r="O153" s="139" t="s">
        <v>5</v>
      </c>
      <c r="P153" s="139" t="s">
        <v>221</v>
      </c>
      <c r="Q153" s="139"/>
      <c r="R153" s="138"/>
      <c r="S153" s="141"/>
    </row>
    <row r="154" spans="1:23" x14ac:dyDescent="0.2">
      <c r="A154" s="191"/>
      <c r="B154" s="120">
        <v>0.3</v>
      </c>
      <c r="C154" s="120">
        <v>2.7</v>
      </c>
      <c r="D154" s="120">
        <v>25.42</v>
      </c>
      <c r="G154" s="180">
        <f>(B154+2)*C154*D154</f>
        <v>157.85820000000001</v>
      </c>
      <c r="H154" s="180">
        <f>F154-I154</f>
        <v>-137.268</v>
      </c>
      <c r="I154" s="180">
        <f>G154-J154</f>
        <v>137.268</v>
      </c>
      <c r="J154" s="180">
        <f>B154*C154*D154</f>
        <v>20.590200000000003</v>
      </c>
      <c r="K154" s="181">
        <f>C154*2*D154</f>
        <v>137.26800000000003</v>
      </c>
      <c r="L154" s="189">
        <f>D154/0.2+1</f>
        <v>128.10000000000002</v>
      </c>
      <c r="M154" s="190">
        <f>(B154+0.7)*K154*3.28*0.668/2000</f>
        <v>0.15037983936000004</v>
      </c>
      <c r="N154" s="190">
        <f>(C154+0.7)*L154*3.28*0.668/2000</f>
        <v>0.47714278080000017</v>
      </c>
      <c r="O154" s="139" t="e">
        <f>#REF!</f>
        <v>#REF!</v>
      </c>
      <c r="P154" s="139">
        <v>2</v>
      </c>
      <c r="Q154" s="139"/>
      <c r="R154" s="138"/>
      <c r="S154" s="141"/>
    </row>
    <row r="155" spans="1:23" x14ac:dyDescent="0.2">
      <c r="A155" s="191"/>
      <c r="G155" s="180"/>
      <c r="H155" s="180"/>
      <c r="I155" s="180"/>
      <c r="J155" s="180"/>
      <c r="K155" s="181"/>
      <c r="O155" s="139"/>
      <c r="P155" s="139"/>
      <c r="Q155" s="139"/>
      <c r="R155" s="138"/>
      <c r="S155" s="141"/>
    </row>
    <row r="156" spans="1:23" x14ac:dyDescent="0.2">
      <c r="A156" s="191" t="s">
        <v>222</v>
      </c>
      <c r="B156" s="120" t="s">
        <v>198</v>
      </c>
      <c r="C156" s="120" t="s">
        <v>199</v>
      </c>
      <c r="D156" s="120" t="s">
        <v>200</v>
      </c>
      <c r="E156" s="120" t="s">
        <v>201</v>
      </c>
      <c r="F156" s="120" t="s">
        <v>201</v>
      </c>
      <c r="G156" s="180" t="s">
        <v>223</v>
      </c>
      <c r="H156" s="180" t="s">
        <v>224</v>
      </c>
      <c r="I156" s="180" t="s">
        <v>224</v>
      </c>
      <c r="J156" s="180" t="s">
        <v>203</v>
      </c>
      <c r="K156" s="181" t="s">
        <v>204</v>
      </c>
      <c r="L156" s="120" t="s">
        <v>205</v>
      </c>
      <c r="M156" s="180" t="s">
        <v>215</v>
      </c>
      <c r="N156" s="180" t="s">
        <v>215</v>
      </c>
      <c r="O156" s="139" t="s">
        <v>226</v>
      </c>
      <c r="P156" s="139"/>
      <c r="Q156" s="139"/>
      <c r="R156" s="138"/>
      <c r="S156" s="141"/>
    </row>
    <row r="157" spans="1:23" x14ac:dyDescent="0.2">
      <c r="A157" s="191"/>
      <c r="B157" s="120" t="s">
        <v>208</v>
      </c>
      <c r="C157" s="120" t="s">
        <v>208</v>
      </c>
      <c r="D157" s="120" t="s">
        <v>208</v>
      </c>
      <c r="E157" s="120" t="s">
        <v>208</v>
      </c>
      <c r="F157" s="120" t="s">
        <v>208</v>
      </c>
      <c r="G157" s="180" t="s">
        <v>59</v>
      </c>
      <c r="H157" s="180" t="s">
        <v>27</v>
      </c>
      <c r="I157" s="180" t="s">
        <v>27</v>
      </c>
      <c r="J157" s="180" t="s">
        <v>209</v>
      </c>
      <c r="K157" s="181" t="s">
        <v>5</v>
      </c>
      <c r="L157" s="120" t="s">
        <v>227</v>
      </c>
      <c r="M157" s="180" t="s">
        <v>220</v>
      </c>
      <c r="N157" s="180" t="s">
        <v>220</v>
      </c>
      <c r="O157" s="139" t="s">
        <v>5</v>
      </c>
      <c r="P157" s="139"/>
      <c r="Q157" s="139"/>
      <c r="R157" s="138"/>
      <c r="S157" s="141"/>
    </row>
    <row r="158" spans="1:23" x14ac:dyDescent="0.2">
      <c r="A158" s="191"/>
      <c r="B158" s="120">
        <v>0</v>
      </c>
      <c r="C158" s="120">
        <v>0</v>
      </c>
      <c r="D158" s="120">
        <v>25.42</v>
      </c>
      <c r="E158" s="120">
        <v>0</v>
      </c>
      <c r="F158" s="120">
        <v>0</v>
      </c>
      <c r="G158" s="180">
        <f>0.3*0.6*D158</f>
        <v>4.5756000000000006</v>
      </c>
      <c r="H158" s="180">
        <f>C158</f>
        <v>0</v>
      </c>
      <c r="I158" s="180">
        <f>D158</f>
        <v>25.42</v>
      </c>
      <c r="J158" s="180">
        <f>B158*C158*D158</f>
        <v>0</v>
      </c>
      <c r="K158" s="181">
        <f>C158*2*D158</f>
        <v>0</v>
      </c>
      <c r="L158" s="189">
        <v>2</v>
      </c>
      <c r="M158" s="192">
        <f>C158*K158*3.28*0.668/2000</f>
        <v>0</v>
      </c>
      <c r="N158" s="192">
        <f>D158*L158*3.28*0.668/2000</f>
        <v>5.56962368E-2</v>
      </c>
      <c r="O158" s="139"/>
      <c r="P158" s="139"/>
      <c r="Q158" s="139"/>
    </row>
    <row r="159" spans="1:23" x14ac:dyDescent="0.2">
      <c r="A159" s="111"/>
      <c r="D159" s="193"/>
      <c r="E159" s="193" t="s">
        <v>228</v>
      </c>
      <c r="F159" s="193" t="s">
        <v>228</v>
      </c>
      <c r="G159" s="193">
        <f>G154+G150</f>
        <v>204.8852</v>
      </c>
      <c r="H159" s="193">
        <f>H154+H150</f>
        <v>-172.37279999999998</v>
      </c>
      <c r="I159" s="193">
        <f>I154+I150</f>
        <v>173.87279999999998</v>
      </c>
      <c r="J159" s="193">
        <f>J158+J154+J150</f>
        <v>31.012400000000007</v>
      </c>
      <c r="K159" s="194">
        <f>K158+K154+K150</f>
        <v>152.52000000000004</v>
      </c>
      <c r="L159" s="195" t="s">
        <v>229</v>
      </c>
      <c r="M159" s="196" t="e">
        <f>#REF!+M154+#REF!+M158+#REF!</f>
        <v>#REF!</v>
      </c>
      <c r="N159" s="196" t="e">
        <f>#REF!+N154+#REF!+N158+#REF!</f>
        <v>#REF!</v>
      </c>
      <c r="O159" s="139"/>
      <c r="P159" s="139"/>
      <c r="Q159" s="139"/>
      <c r="R159" s="111"/>
      <c r="S159" s="111"/>
      <c r="T159" s="111"/>
    </row>
    <row r="160" spans="1:23" x14ac:dyDescent="0.2">
      <c r="A160" s="111"/>
      <c r="D160" s="193"/>
      <c r="E160" s="193"/>
      <c r="F160" s="193"/>
      <c r="G160" s="193"/>
      <c r="H160" s="193"/>
      <c r="I160" s="193"/>
      <c r="J160" s="193"/>
      <c r="K160" s="194"/>
      <c r="L160" s="195"/>
      <c r="M160" s="196"/>
      <c r="N160" s="196"/>
      <c r="O160" s="139"/>
      <c r="P160" s="139"/>
      <c r="Q160" s="139"/>
      <c r="R160" s="111"/>
      <c r="S160" s="111"/>
      <c r="T160" s="111"/>
    </row>
    <row r="161" spans="1:20" x14ac:dyDescent="0.2">
      <c r="A161" s="111"/>
      <c r="D161" s="193"/>
      <c r="E161" s="193"/>
      <c r="F161" s="193"/>
      <c r="G161" s="193">
        <f>G159+G142</f>
        <v>314.40424999999999</v>
      </c>
      <c r="H161" s="193">
        <f>H159+H142</f>
        <v>-264.30339999999995</v>
      </c>
      <c r="I161" s="193">
        <f>I159+I142</f>
        <v>267.30339999999995</v>
      </c>
      <c r="J161" s="193">
        <f>J159+J142</f>
        <v>47.100850000000008</v>
      </c>
      <c r="K161" s="194">
        <f>K159+K142</f>
        <v>236.97100000000003</v>
      </c>
      <c r="L161" s="195"/>
      <c r="M161" s="196" t="e">
        <f>M159+M142</f>
        <v>#REF!</v>
      </c>
      <c r="N161" s="196" t="e">
        <f>N159+N142</f>
        <v>#REF!</v>
      </c>
      <c r="O161" s="139"/>
      <c r="P161" s="139"/>
      <c r="Q161" s="139"/>
      <c r="R161" s="111"/>
      <c r="S161" s="111"/>
      <c r="T161" s="111"/>
    </row>
    <row r="162" spans="1:20" x14ac:dyDescent="0.2">
      <c r="A162" s="111"/>
      <c r="D162" s="193"/>
      <c r="E162" s="193"/>
      <c r="F162" s="193"/>
      <c r="G162" s="193"/>
      <c r="H162" s="193">
        <f>H158+H141</f>
        <v>0</v>
      </c>
      <c r="I162" s="193">
        <f>I158+I141</f>
        <v>36.11</v>
      </c>
      <c r="J162" s="193"/>
      <c r="K162" s="194"/>
      <c r="L162" s="195"/>
      <c r="M162" s="196"/>
      <c r="N162" s="196"/>
      <c r="O162" s="139"/>
      <c r="P162" s="139"/>
      <c r="Q162" s="139"/>
      <c r="R162" s="111"/>
      <c r="S162" s="111"/>
      <c r="T162" s="111"/>
    </row>
    <row r="163" spans="1:20" x14ac:dyDescent="0.2">
      <c r="A163" s="111"/>
      <c r="G163" s="180"/>
      <c r="H163" s="180"/>
      <c r="I163" s="180"/>
      <c r="J163" s="180"/>
      <c r="K163" s="181"/>
      <c r="L163" s="189"/>
      <c r="M163" s="192"/>
      <c r="N163" s="192"/>
      <c r="O163" s="139"/>
      <c r="P163" s="139"/>
      <c r="Q163" s="139"/>
      <c r="R163" s="111"/>
      <c r="S163" s="111"/>
      <c r="T163" s="111"/>
    </row>
    <row r="164" spans="1:20" x14ac:dyDescent="0.2">
      <c r="A164" s="191" t="s">
        <v>233</v>
      </c>
      <c r="G164" s="180"/>
      <c r="H164" s="180"/>
      <c r="I164" s="180"/>
      <c r="J164" s="180"/>
      <c r="K164" s="181"/>
      <c r="O164" s="139"/>
      <c r="P164" s="142"/>
      <c r="Q164" s="142"/>
      <c r="R164" s="141"/>
      <c r="T164" s="111"/>
    </row>
    <row r="165" spans="1:20" x14ac:dyDescent="0.2">
      <c r="A165" s="191" t="s">
        <v>232</v>
      </c>
      <c r="G165" s="180"/>
      <c r="H165" s="180"/>
      <c r="I165" s="180"/>
      <c r="J165" s="180"/>
      <c r="K165" s="181"/>
      <c r="O165" s="139"/>
      <c r="P165" s="142"/>
      <c r="Q165" s="142"/>
      <c r="R165" s="141"/>
      <c r="T165" s="111"/>
    </row>
    <row r="166" spans="1:20" x14ac:dyDescent="0.2">
      <c r="A166" s="191"/>
      <c r="B166" s="120" t="s">
        <v>198</v>
      </c>
      <c r="C166" s="120" t="s">
        <v>199</v>
      </c>
      <c r="D166" s="120" t="s">
        <v>200</v>
      </c>
      <c r="E166" s="120" t="s">
        <v>201</v>
      </c>
      <c r="F166" s="120" t="s">
        <v>201</v>
      </c>
      <c r="G166" s="180" t="s">
        <v>104</v>
      </c>
      <c r="H166" s="180" t="s">
        <v>202</v>
      </c>
      <c r="I166" s="180" t="s">
        <v>202</v>
      </c>
      <c r="J166" s="180" t="s">
        <v>203</v>
      </c>
      <c r="K166" s="181" t="s">
        <v>204</v>
      </c>
      <c r="L166" s="120" t="s">
        <v>205</v>
      </c>
      <c r="M166" s="120" t="s">
        <v>205</v>
      </c>
      <c r="N166" s="120" t="s">
        <v>205</v>
      </c>
      <c r="O166" s="139" t="s">
        <v>206</v>
      </c>
      <c r="P166" s="142"/>
      <c r="Q166" s="142"/>
      <c r="R166" s="141"/>
      <c r="T166" s="111"/>
    </row>
    <row r="167" spans="1:20" x14ac:dyDescent="0.2">
      <c r="A167" s="191" t="s">
        <v>207</v>
      </c>
      <c r="B167" s="120" t="s">
        <v>208</v>
      </c>
      <c r="C167" s="120" t="s">
        <v>208</v>
      </c>
      <c r="D167" s="120" t="s">
        <v>208</v>
      </c>
      <c r="E167" s="120" t="s">
        <v>208</v>
      </c>
      <c r="F167" s="120" t="s">
        <v>208</v>
      </c>
      <c r="G167" s="180" t="s">
        <v>59</v>
      </c>
      <c r="H167" s="180" t="s">
        <v>59</v>
      </c>
      <c r="I167" s="180" t="s">
        <v>59</v>
      </c>
      <c r="J167" s="180" t="s">
        <v>209</v>
      </c>
      <c r="K167" s="181" t="s">
        <v>5</v>
      </c>
      <c r="L167" s="120" t="s">
        <v>210</v>
      </c>
      <c r="M167" s="120" t="s">
        <v>211</v>
      </c>
      <c r="N167" s="120" t="s">
        <v>211</v>
      </c>
      <c r="O167" s="139"/>
      <c r="P167" s="142"/>
      <c r="Q167" s="142"/>
      <c r="R167" s="141"/>
      <c r="T167" s="111"/>
    </row>
    <row r="168" spans="1:20" x14ac:dyDescent="0.2">
      <c r="A168" s="191"/>
      <c r="B168" s="120">
        <v>1.2</v>
      </c>
      <c r="C168" s="120">
        <v>0.3</v>
      </c>
      <c r="D168" s="120">
        <v>34.770000000000003</v>
      </c>
      <c r="E168" s="120">
        <v>1.5</v>
      </c>
      <c r="F168" s="120">
        <v>1.5</v>
      </c>
      <c r="G168" s="180">
        <f>B168*D168*F168</f>
        <v>62.586000000000006</v>
      </c>
      <c r="H168" s="180">
        <f>F168-I168</f>
        <v>-48.568800000000003</v>
      </c>
      <c r="I168" s="180">
        <f>G168-J168</f>
        <v>50.068800000000003</v>
      </c>
      <c r="J168" s="180">
        <f>B168*C168*D168</f>
        <v>12.517200000000001</v>
      </c>
      <c r="K168" s="181">
        <f>C168*2*D168</f>
        <v>20.862000000000002</v>
      </c>
      <c r="L168" s="189">
        <f>D168/0.4+1</f>
        <v>87.924999999999997</v>
      </c>
      <c r="M168" s="189">
        <f>A168/0.3+1</f>
        <v>1</v>
      </c>
      <c r="N168" s="189">
        <f>B168/0.3+1</f>
        <v>5</v>
      </c>
      <c r="O168" s="139"/>
      <c r="P168" s="142"/>
      <c r="Q168" s="142"/>
      <c r="R168" s="141"/>
      <c r="T168" s="111"/>
    </row>
    <row r="169" spans="1:20" x14ac:dyDescent="0.2">
      <c r="A169" s="191"/>
      <c r="B169" s="120">
        <v>0.25</v>
      </c>
      <c r="C169" s="120">
        <v>0.2</v>
      </c>
      <c r="D169" s="120">
        <v>34.770000000000003</v>
      </c>
      <c r="G169" s="180">
        <f>B169*C169*D169</f>
        <v>1.7385000000000002</v>
      </c>
      <c r="H169" s="180"/>
      <c r="I169" s="180"/>
      <c r="J169" s="180">
        <f>B169*C169*D169</f>
        <v>1.7385000000000002</v>
      </c>
      <c r="K169" s="181"/>
      <c r="O169" s="139"/>
      <c r="P169" s="141"/>
      <c r="Q169" s="141"/>
      <c r="R169" s="141"/>
      <c r="T169" s="111"/>
    </row>
    <row r="170" spans="1:20" x14ac:dyDescent="0.2">
      <c r="A170" s="191"/>
      <c r="G170" s="180">
        <f>SUM(G168:G169)</f>
        <v>64.3245</v>
      </c>
      <c r="H170" s="180">
        <f>SUM(H168:H169)</f>
        <v>-48.568800000000003</v>
      </c>
      <c r="I170" s="180">
        <f>SUM(I168:I169)</f>
        <v>50.068800000000003</v>
      </c>
      <c r="J170" s="180">
        <f>SUM(J168:J169)</f>
        <v>14.255700000000001</v>
      </c>
      <c r="K170" s="181">
        <f>SUM(K168:K169)</f>
        <v>20.862000000000002</v>
      </c>
      <c r="O170" s="139"/>
      <c r="P170" s="141"/>
      <c r="Q170" s="141"/>
      <c r="R170" s="141"/>
      <c r="T170" s="111"/>
    </row>
    <row r="171" spans="1:20" x14ac:dyDescent="0.2">
      <c r="A171" s="191"/>
      <c r="G171" s="180"/>
      <c r="H171" s="180"/>
      <c r="I171" s="180"/>
      <c r="J171" s="180"/>
      <c r="K171" s="181"/>
      <c r="O171" s="139" t="s">
        <v>213</v>
      </c>
      <c r="P171" s="141"/>
      <c r="Q171" s="141"/>
      <c r="R171" s="141"/>
      <c r="T171" s="111"/>
    </row>
    <row r="172" spans="1:20" x14ac:dyDescent="0.2">
      <c r="A172" s="191" t="s">
        <v>214</v>
      </c>
      <c r="B172" s="120" t="s">
        <v>198</v>
      </c>
      <c r="C172" s="120" t="s">
        <v>199</v>
      </c>
      <c r="D172" s="120" t="s">
        <v>200</v>
      </c>
      <c r="E172" s="120" t="s">
        <v>201</v>
      </c>
      <c r="F172" s="120" t="s">
        <v>201</v>
      </c>
      <c r="G172" s="180" t="s">
        <v>104</v>
      </c>
      <c r="H172" s="180" t="s">
        <v>202</v>
      </c>
      <c r="I172" s="180" t="s">
        <v>202</v>
      </c>
      <c r="J172" s="180" t="s">
        <v>203</v>
      </c>
      <c r="K172" s="181" t="s">
        <v>204</v>
      </c>
      <c r="L172" s="120" t="s">
        <v>205</v>
      </c>
      <c r="M172" s="180" t="s">
        <v>215</v>
      </c>
      <c r="N172" s="180" t="s">
        <v>215</v>
      </c>
      <c r="O172" s="139" t="s">
        <v>217</v>
      </c>
      <c r="P172" s="139" t="s">
        <v>218</v>
      </c>
      <c r="Q172" s="141"/>
      <c r="R172" s="141"/>
      <c r="T172" s="111"/>
    </row>
    <row r="173" spans="1:20" x14ac:dyDescent="0.2">
      <c r="A173" s="191"/>
      <c r="B173" s="120" t="s">
        <v>208</v>
      </c>
      <c r="C173" s="120" t="s">
        <v>208</v>
      </c>
      <c r="D173" s="120" t="s">
        <v>208</v>
      </c>
      <c r="E173" s="120" t="s">
        <v>208</v>
      </c>
      <c r="F173" s="120" t="s">
        <v>208</v>
      </c>
      <c r="G173" s="180" t="s">
        <v>59</v>
      </c>
      <c r="H173" s="180" t="s">
        <v>59</v>
      </c>
      <c r="I173" s="180" t="s">
        <v>59</v>
      </c>
      <c r="J173" s="180" t="s">
        <v>209</v>
      </c>
      <c r="K173" s="181" t="s">
        <v>5</v>
      </c>
      <c r="L173" s="120" t="s">
        <v>219</v>
      </c>
      <c r="M173" s="180" t="s">
        <v>220</v>
      </c>
      <c r="N173" s="180" t="s">
        <v>220</v>
      </c>
      <c r="O173" s="139" t="s">
        <v>5</v>
      </c>
      <c r="P173" s="139" t="s">
        <v>221</v>
      </c>
      <c r="Q173" s="141"/>
      <c r="R173" s="141"/>
      <c r="T173" s="111"/>
    </row>
    <row r="174" spans="1:20" x14ac:dyDescent="0.2">
      <c r="A174" s="191"/>
      <c r="B174" s="120">
        <v>0.3</v>
      </c>
      <c r="C174" s="120">
        <v>5.9</v>
      </c>
      <c r="D174" s="120">
        <v>57.45</v>
      </c>
      <c r="G174" s="180">
        <f>(B174+2)*C174*D174</f>
        <v>779.59650000000011</v>
      </c>
      <c r="H174" s="180">
        <f>F174-I174</f>
        <v>-677.91000000000008</v>
      </c>
      <c r="I174" s="180">
        <f>G174-J174</f>
        <v>677.91000000000008</v>
      </c>
      <c r="J174" s="180">
        <f>B174*C174*D174</f>
        <v>101.68650000000001</v>
      </c>
      <c r="K174" s="181">
        <f>C174*2*D174</f>
        <v>677.91000000000008</v>
      </c>
      <c r="L174" s="189">
        <f>D174/0.2+1</f>
        <v>288.25</v>
      </c>
      <c r="M174" s="190">
        <f>(B174+0.7)*K174*3.28*0.668/2000</f>
        <v>0.74266396320000017</v>
      </c>
      <c r="N174" s="190">
        <f>(C174+0.7)*L174*3.28*0.668/2000</f>
        <v>2.0841720239999999</v>
      </c>
      <c r="O174" s="139" t="e">
        <f>#REF!</f>
        <v>#REF!</v>
      </c>
      <c r="P174" s="154">
        <f>D174/10+2</f>
        <v>7.7450000000000001</v>
      </c>
      <c r="Q174" s="141"/>
      <c r="R174" s="141"/>
      <c r="T174" s="111"/>
    </row>
    <row r="175" spans="1:20" x14ac:dyDescent="0.2">
      <c r="A175" s="191"/>
      <c r="G175" s="180"/>
      <c r="H175" s="180"/>
      <c r="I175" s="180"/>
      <c r="J175" s="180"/>
      <c r="K175" s="181"/>
      <c r="O175" s="139"/>
      <c r="P175" s="141"/>
      <c r="Q175" s="141"/>
      <c r="R175" s="141"/>
      <c r="T175" s="111"/>
    </row>
    <row r="176" spans="1:20" x14ac:dyDescent="0.2">
      <c r="A176" s="191" t="s">
        <v>222</v>
      </c>
      <c r="B176" s="120" t="s">
        <v>198</v>
      </c>
      <c r="C176" s="120" t="s">
        <v>199</v>
      </c>
      <c r="D176" s="120" t="s">
        <v>200</v>
      </c>
      <c r="E176" s="120" t="s">
        <v>201</v>
      </c>
      <c r="F176" s="120" t="s">
        <v>201</v>
      </c>
      <c r="G176" s="180" t="s">
        <v>223</v>
      </c>
      <c r="H176" s="180" t="s">
        <v>224</v>
      </c>
      <c r="I176" s="180" t="s">
        <v>224</v>
      </c>
      <c r="J176" s="180" t="s">
        <v>203</v>
      </c>
      <c r="K176" s="181" t="s">
        <v>204</v>
      </c>
      <c r="L176" s="120" t="s">
        <v>205</v>
      </c>
      <c r="M176" s="180" t="s">
        <v>215</v>
      </c>
      <c r="N176" s="180" t="s">
        <v>215</v>
      </c>
      <c r="O176" s="139" t="s">
        <v>226</v>
      </c>
      <c r="P176" s="141"/>
      <c r="Q176" s="141"/>
      <c r="R176" s="141"/>
      <c r="T176" s="111"/>
    </row>
    <row r="177" spans="1:27" x14ac:dyDescent="0.2">
      <c r="A177" s="191"/>
      <c r="B177" s="120" t="s">
        <v>208</v>
      </c>
      <c r="C177" s="120" t="s">
        <v>208</v>
      </c>
      <c r="D177" s="120" t="s">
        <v>208</v>
      </c>
      <c r="E177" s="120" t="s">
        <v>208</v>
      </c>
      <c r="F177" s="120" t="s">
        <v>208</v>
      </c>
      <c r="G177" s="180" t="s">
        <v>59</v>
      </c>
      <c r="H177" s="180" t="s">
        <v>27</v>
      </c>
      <c r="I177" s="180" t="s">
        <v>27</v>
      </c>
      <c r="J177" s="180" t="s">
        <v>209</v>
      </c>
      <c r="K177" s="181" t="s">
        <v>5</v>
      </c>
      <c r="L177" s="120" t="s">
        <v>227</v>
      </c>
      <c r="M177" s="180" t="s">
        <v>220</v>
      </c>
      <c r="N177" s="180" t="s">
        <v>220</v>
      </c>
      <c r="O177" s="139" t="s">
        <v>5</v>
      </c>
      <c r="P177" s="141"/>
      <c r="Q177" s="141"/>
      <c r="R177" s="141"/>
      <c r="T177" s="111"/>
    </row>
    <row r="178" spans="1:27" x14ac:dyDescent="0.2">
      <c r="A178" s="191"/>
      <c r="B178" s="120">
        <v>0</v>
      </c>
      <c r="C178" s="120">
        <v>0</v>
      </c>
      <c r="D178" s="120">
        <v>34.770000000000003</v>
      </c>
      <c r="E178" s="120">
        <v>0</v>
      </c>
      <c r="F178" s="120">
        <v>0</v>
      </c>
      <c r="G178" s="180">
        <f>0.3*0.6*D178</f>
        <v>6.2586000000000004</v>
      </c>
      <c r="H178" s="180">
        <f>C178</f>
        <v>0</v>
      </c>
      <c r="I178" s="180">
        <f>D178</f>
        <v>34.770000000000003</v>
      </c>
      <c r="J178" s="180">
        <f>B178*C178*D178</f>
        <v>0</v>
      </c>
      <c r="K178" s="181">
        <f>C178*2*D178</f>
        <v>0</v>
      </c>
      <c r="L178" s="189">
        <v>2</v>
      </c>
      <c r="M178" s="192">
        <f>C178*K178*3.28*0.668/2000</f>
        <v>0</v>
      </c>
      <c r="N178" s="192">
        <f>D178*L178*3.28*0.668/2000</f>
        <v>7.6182460800000018E-2</v>
      </c>
      <c r="O178" s="139"/>
      <c r="P178" s="141"/>
      <c r="Q178" s="141"/>
      <c r="R178" s="141"/>
      <c r="T178" s="111"/>
    </row>
    <row r="179" spans="1:27" x14ac:dyDescent="0.2">
      <c r="A179" s="191"/>
      <c r="E179" s="193" t="s">
        <v>228</v>
      </c>
      <c r="F179" s="193" t="s">
        <v>228</v>
      </c>
      <c r="G179" s="193">
        <f>G174+G170</f>
        <v>843.92100000000005</v>
      </c>
      <c r="H179" s="193">
        <f>H174+H170</f>
        <v>-726.47880000000009</v>
      </c>
      <c r="I179" s="193">
        <f>I174+I170</f>
        <v>727.97880000000009</v>
      </c>
      <c r="J179" s="193">
        <f>J178+J174+J170</f>
        <v>115.94220000000001</v>
      </c>
      <c r="K179" s="194">
        <f>K178+K174+K170</f>
        <v>698.77200000000005</v>
      </c>
      <c r="L179" s="195" t="s">
        <v>229</v>
      </c>
      <c r="M179" s="196" t="e">
        <f>#REF!+M174+#REF!+M178+#REF!</f>
        <v>#REF!</v>
      </c>
      <c r="N179" s="196" t="e">
        <f>#REF!+N174+#REF!+N178+#REF!</f>
        <v>#REF!</v>
      </c>
      <c r="O179" s="139"/>
      <c r="P179" s="141"/>
      <c r="Q179" s="141"/>
      <c r="R179" s="141"/>
    </row>
    <row r="180" spans="1:27" x14ac:dyDescent="0.2">
      <c r="A180" s="179"/>
    </row>
    <row r="181" spans="1:27" x14ac:dyDescent="0.2">
      <c r="A181" s="191" t="s">
        <v>234</v>
      </c>
      <c r="G181" s="180"/>
      <c r="H181" s="180"/>
      <c r="I181" s="180"/>
      <c r="J181" s="180"/>
      <c r="K181" s="181"/>
      <c r="L181" s="197"/>
      <c r="M181" s="192"/>
      <c r="N181" s="192"/>
      <c r="O181" s="139"/>
      <c r="P181" s="141"/>
    </row>
    <row r="182" spans="1:27" x14ac:dyDescent="0.2">
      <c r="A182" s="191" t="s">
        <v>232</v>
      </c>
      <c r="G182" s="180"/>
      <c r="H182" s="180"/>
      <c r="I182" s="180"/>
      <c r="J182" s="180"/>
      <c r="K182" s="181"/>
      <c r="O182" s="139"/>
      <c r="P182" s="139"/>
    </row>
    <row r="183" spans="1:27" x14ac:dyDescent="0.2">
      <c r="A183" s="191"/>
      <c r="B183" s="120" t="s">
        <v>198</v>
      </c>
      <c r="C183" s="120" t="s">
        <v>199</v>
      </c>
      <c r="D183" s="120" t="s">
        <v>200</v>
      </c>
      <c r="E183" s="120" t="s">
        <v>201</v>
      </c>
      <c r="F183" s="120" t="s">
        <v>201</v>
      </c>
      <c r="G183" s="180" t="s">
        <v>104</v>
      </c>
      <c r="H183" s="180" t="s">
        <v>202</v>
      </c>
      <c r="I183" s="180" t="s">
        <v>202</v>
      </c>
      <c r="J183" s="180" t="s">
        <v>203</v>
      </c>
      <c r="K183" s="181" t="s">
        <v>204</v>
      </c>
      <c r="L183" s="120" t="s">
        <v>205</v>
      </c>
      <c r="M183" s="120" t="s">
        <v>205</v>
      </c>
      <c r="N183" s="120" t="s">
        <v>205</v>
      </c>
      <c r="O183" s="139" t="s">
        <v>206</v>
      </c>
      <c r="P183" s="139"/>
      <c r="Q183" s="148"/>
      <c r="R183" s="148"/>
      <c r="S183" s="111"/>
      <c r="T183" s="148"/>
      <c r="U183" s="148"/>
      <c r="V183" s="111"/>
      <c r="W183" s="111"/>
      <c r="X183" s="111"/>
      <c r="Y183" s="111"/>
      <c r="Z183" s="111"/>
      <c r="AA183" s="111"/>
    </row>
    <row r="184" spans="1:27" x14ac:dyDescent="0.2">
      <c r="A184" s="191" t="s">
        <v>207</v>
      </c>
      <c r="B184" s="120" t="s">
        <v>208</v>
      </c>
      <c r="C184" s="120" t="s">
        <v>208</v>
      </c>
      <c r="D184" s="120" t="s">
        <v>208</v>
      </c>
      <c r="E184" s="120" t="s">
        <v>208</v>
      </c>
      <c r="F184" s="120" t="s">
        <v>208</v>
      </c>
      <c r="G184" s="180" t="s">
        <v>59</v>
      </c>
      <c r="H184" s="180" t="s">
        <v>59</v>
      </c>
      <c r="I184" s="180" t="s">
        <v>59</v>
      </c>
      <c r="J184" s="180" t="s">
        <v>209</v>
      </c>
      <c r="K184" s="181" t="s">
        <v>5</v>
      </c>
      <c r="L184" s="120" t="s">
        <v>210</v>
      </c>
      <c r="M184" s="120" t="s">
        <v>211</v>
      </c>
      <c r="N184" s="120" t="s">
        <v>211</v>
      </c>
      <c r="O184" s="139"/>
      <c r="P184" s="139"/>
      <c r="Q184" s="148"/>
      <c r="R184" s="148"/>
      <c r="S184" s="111"/>
      <c r="T184" s="148"/>
      <c r="U184" s="148"/>
      <c r="V184" s="111"/>
      <c r="W184" s="111"/>
      <c r="X184" s="111"/>
      <c r="Y184" s="111"/>
      <c r="Z184" s="111"/>
      <c r="AA184" s="111"/>
    </row>
    <row r="185" spans="1:27" x14ac:dyDescent="0.2">
      <c r="A185" s="191"/>
      <c r="B185" s="120">
        <v>1.2</v>
      </c>
      <c r="C185" s="120">
        <v>0.3</v>
      </c>
      <c r="D185" s="120">
        <v>32.72</v>
      </c>
      <c r="E185" s="120">
        <v>1.5</v>
      </c>
      <c r="F185" s="120">
        <v>1.5</v>
      </c>
      <c r="G185" s="180">
        <f>B185*D185*F185</f>
        <v>58.895999999999994</v>
      </c>
      <c r="H185" s="180">
        <f>F185-I185</f>
        <v>-45.616799999999998</v>
      </c>
      <c r="I185" s="180">
        <f>G185-J185</f>
        <v>47.116799999999998</v>
      </c>
      <c r="J185" s="180">
        <f>B185*C185*D185</f>
        <v>11.779199999999999</v>
      </c>
      <c r="K185" s="181">
        <f>C185*2*D185</f>
        <v>19.631999999999998</v>
      </c>
      <c r="L185" s="189">
        <f>D185/0.4+1</f>
        <v>82.8</v>
      </c>
      <c r="M185" s="189">
        <f>A185/0.3+1</f>
        <v>1</v>
      </c>
      <c r="N185" s="189">
        <f>B185/0.3+1</f>
        <v>5</v>
      </c>
      <c r="O185" s="139"/>
      <c r="P185" s="139"/>
      <c r="Q185" s="141"/>
      <c r="R185" s="141"/>
      <c r="S185" s="140"/>
      <c r="T185" s="141"/>
      <c r="U185" s="141"/>
    </row>
    <row r="186" spans="1:27" x14ac:dyDescent="0.2">
      <c r="A186" s="191"/>
      <c r="B186" s="120">
        <v>0.25</v>
      </c>
      <c r="C186" s="120">
        <v>0.2</v>
      </c>
      <c r="D186" s="120">
        <v>32.72</v>
      </c>
      <c r="G186" s="180">
        <f>B186*C186*D186</f>
        <v>1.6360000000000001</v>
      </c>
      <c r="H186" s="180"/>
      <c r="I186" s="180"/>
      <c r="J186" s="180">
        <f>B186*C186*D186</f>
        <v>1.6360000000000001</v>
      </c>
      <c r="K186" s="181"/>
      <c r="O186" s="139"/>
      <c r="P186" s="139"/>
    </row>
    <row r="187" spans="1:27" x14ac:dyDescent="0.2">
      <c r="A187" s="191"/>
      <c r="G187" s="180">
        <f>SUM(G185:G186)</f>
        <v>60.531999999999996</v>
      </c>
      <c r="H187" s="180">
        <f>SUM(H185:H186)</f>
        <v>-45.616799999999998</v>
      </c>
      <c r="I187" s="180">
        <f>SUM(I185:I186)</f>
        <v>47.116799999999998</v>
      </c>
      <c r="J187" s="180">
        <f>SUM(J185:J186)</f>
        <v>13.415199999999999</v>
      </c>
      <c r="K187" s="181">
        <f>SUM(K185:K186)</f>
        <v>19.631999999999998</v>
      </c>
      <c r="O187" s="139"/>
      <c r="P187" s="139"/>
      <c r="Q187" s="111"/>
    </row>
    <row r="188" spans="1:27" x14ac:dyDescent="0.2">
      <c r="A188" s="191"/>
      <c r="G188" s="180"/>
      <c r="H188" s="180"/>
      <c r="I188" s="180"/>
      <c r="J188" s="180"/>
      <c r="K188" s="181"/>
      <c r="O188" s="139" t="s">
        <v>213</v>
      </c>
      <c r="P188" s="139"/>
      <c r="Q188" s="157"/>
      <c r="R188" s="148"/>
    </row>
    <row r="189" spans="1:27" x14ac:dyDescent="0.2">
      <c r="A189" s="191" t="s">
        <v>214</v>
      </c>
      <c r="B189" s="120" t="s">
        <v>198</v>
      </c>
      <c r="C189" s="120" t="s">
        <v>199</v>
      </c>
      <c r="D189" s="120" t="s">
        <v>200</v>
      </c>
      <c r="E189" s="120" t="s">
        <v>201</v>
      </c>
      <c r="F189" s="120" t="s">
        <v>201</v>
      </c>
      <c r="G189" s="180" t="s">
        <v>104</v>
      </c>
      <c r="H189" s="180" t="s">
        <v>202</v>
      </c>
      <c r="I189" s="180" t="s">
        <v>202</v>
      </c>
      <c r="J189" s="180" t="s">
        <v>203</v>
      </c>
      <c r="K189" s="181" t="s">
        <v>204</v>
      </c>
      <c r="L189" s="120" t="s">
        <v>205</v>
      </c>
      <c r="M189" s="180" t="s">
        <v>215</v>
      </c>
      <c r="N189" s="180" t="s">
        <v>215</v>
      </c>
      <c r="O189" s="139" t="s">
        <v>217</v>
      </c>
      <c r="P189" s="139" t="s">
        <v>218</v>
      </c>
      <c r="Q189" s="142"/>
    </row>
    <row r="190" spans="1:27" x14ac:dyDescent="0.2">
      <c r="A190" s="191"/>
      <c r="B190" s="120" t="s">
        <v>208</v>
      </c>
      <c r="C190" s="120" t="s">
        <v>208</v>
      </c>
      <c r="D190" s="120" t="s">
        <v>208</v>
      </c>
      <c r="E190" s="120" t="s">
        <v>208</v>
      </c>
      <c r="F190" s="120" t="s">
        <v>208</v>
      </c>
      <c r="G190" s="180" t="s">
        <v>59</v>
      </c>
      <c r="H190" s="180" t="s">
        <v>59</v>
      </c>
      <c r="I190" s="180" t="s">
        <v>59</v>
      </c>
      <c r="J190" s="180" t="s">
        <v>209</v>
      </c>
      <c r="K190" s="181" t="s">
        <v>5</v>
      </c>
      <c r="L190" s="120" t="s">
        <v>219</v>
      </c>
      <c r="M190" s="180" t="s">
        <v>220</v>
      </c>
      <c r="N190" s="180" t="s">
        <v>220</v>
      </c>
      <c r="O190" s="139" t="s">
        <v>5</v>
      </c>
      <c r="P190" s="139" t="s">
        <v>221</v>
      </c>
      <c r="Q190" s="142"/>
    </row>
    <row r="191" spans="1:27" x14ac:dyDescent="0.2">
      <c r="A191" s="191"/>
      <c r="B191" s="120">
        <v>0.3</v>
      </c>
      <c r="C191" s="120">
        <v>5.98</v>
      </c>
      <c r="D191" s="120">
        <v>32.72</v>
      </c>
      <c r="G191" s="180">
        <f>(B191+2)*C191*D191</f>
        <v>450.03087999999997</v>
      </c>
      <c r="H191" s="180">
        <f>F191-I191</f>
        <v>-391.33119999999997</v>
      </c>
      <c r="I191" s="180">
        <f>G191-J191</f>
        <v>391.33119999999997</v>
      </c>
      <c r="J191" s="180">
        <f>B191*C191*D191</f>
        <v>58.699680000000001</v>
      </c>
      <c r="K191" s="181">
        <f>C191*2*D191</f>
        <v>391.33120000000002</v>
      </c>
      <c r="L191" s="189">
        <f>D191/0.2+1</f>
        <v>164.6</v>
      </c>
      <c r="M191" s="190">
        <f>(B191+0.7)*K191*3.28*0.668/2000</f>
        <v>0.42871115622400002</v>
      </c>
      <c r="N191" s="190">
        <f>(C191+0.7)*L191*3.28*0.668/2000</f>
        <v>1.2045549145600001</v>
      </c>
      <c r="O191" s="139" t="e">
        <f>#REF!</f>
        <v>#REF!</v>
      </c>
      <c r="P191" s="139">
        <v>2</v>
      </c>
    </row>
    <row r="192" spans="1:27" x14ac:dyDescent="0.2">
      <c r="A192" s="191"/>
      <c r="G192" s="180"/>
      <c r="H192" s="180"/>
      <c r="I192" s="180"/>
      <c r="J192" s="180"/>
      <c r="K192" s="181"/>
      <c r="O192" s="139"/>
      <c r="P192" s="139"/>
    </row>
    <row r="193" spans="1:16" x14ac:dyDescent="0.2">
      <c r="A193" s="191" t="s">
        <v>222</v>
      </c>
      <c r="B193" s="120" t="s">
        <v>198</v>
      </c>
      <c r="C193" s="120" t="s">
        <v>199</v>
      </c>
      <c r="D193" s="120" t="s">
        <v>200</v>
      </c>
      <c r="E193" s="120" t="s">
        <v>201</v>
      </c>
      <c r="F193" s="120" t="s">
        <v>201</v>
      </c>
      <c r="G193" s="180" t="s">
        <v>223</v>
      </c>
      <c r="H193" s="180" t="s">
        <v>224</v>
      </c>
      <c r="I193" s="180" t="s">
        <v>224</v>
      </c>
      <c r="J193" s="180" t="s">
        <v>203</v>
      </c>
      <c r="K193" s="181" t="s">
        <v>204</v>
      </c>
      <c r="L193" s="120" t="s">
        <v>205</v>
      </c>
      <c r="M193" s="180" t="s">
        <v>215</v>
      </c>
      <c r="N193" s="180" t="s">
        <v>215</v>
      </c>
      <c r="O193" s="139" t="s">
        <v>226</v>
      </c>
      <c r="P193" s="139"/>
    </row>
    <row r="194" spans="1:16" x14ac:dyDescent="0.2">
      <c r="A194" s="191"/>
      <c r="B194" s="120" t="s">
        <v>208</v>
      </c>
      <c r="C194" s="120" t="s">
        <v>208</v>
      </c>
      <c r="D194" s="120">
        <v>32.72</v>
      </c>
      <c r="E194" s="120" t="s">
        <v>208</v>
      </c>
      <c r="F194" s="120" t="s">
        <v>208</v>
      </c>
      <c r="G194" s="180" t="s">
        <v>59</v>
      </c>
      <c r="H194" s="180" t="s">
        <v>27</v>
      </c>
      <c r="I194" s="180" t="s">
        <v>27</v>
      </c>
      <c r="J194" s="180" t="s">
        <v>209</v>
      </c>
      <c r="K194" s="181" t="s">
        <v>5</v>
      </c>
      <c r="L194" s="120" t="s">
        <v>227</v>
      </c>
      <c r="M194" s="180" t="s">
        <v>220</v>
      </c>
      <c r="N194" s="180" t="s">
        <v>220</v>
      </c>
      <c r="O194" s="139" t="s">
        <v>5</v>
      </c>
      <c r="P194" s="139"/>
    </row>
    <row r="195" spans="1:16" x14ac:dyDescent="0.2">
      <c r="A195" s="191"/>
      <c r="B195" s="120">
        <v>0</v>
      </c>
      <c r="C195" s="120">
        <v>0</v>
      </c>
      <c r="D195" s="120">
        <v>32.72</v>
      </c>
      <c r="E195" s="120">
        <v>0</v>
      </c>
      <c r="F195" s="120">
        <v>0</v>
      </c>
      <c r="G195" s="180">
        <f>0.3*0.6*D195</f>
        <v>5.8895999999999997</v>
      </c>
      <c r="H195" s="180">
        <f>C195</f>
        <v>0</v>
      </c>
      <c r="I195" s="180">
        <f>D195</f>
        <v>32.72</v>
      </c>
      <c r="J195" s="180">
        <f>B195*C195*D195</f>
        <v>0</v>
      </c>
      <c r="K195" s="181">
        <f>C195*2*D195</f>
        <v>0</v>
      </c>
      <c r="L195" s="189">
        <v>2</v>
      </c>
      <c r="M195" s="192">
        <f>C195*K195*3.28*0.668/2000</f>
        <v>0</v>
      </c>
      <c r="N195" s="192">
        <f>D195*L195*3.28*0.668/2000</f>
        <v>7.1690828799999995E-2</v>
      </c>
      <c r="O195" s="139"/>
      <c r="P195" s="139"/>
    </row>
    <row r="196" spans="1:16" x14ac:dyDescent="0.2">
      <c r="A196" s="191"/>
      <c r="D196" s="193"/>
      <c r="E196" s="193" t="s">
        <v>228</v>
      </c>
      <c r="F196" s="193" t="s">
        <v>228</v>
      </c>
      <c r="G196" s="193">
        <f>G191+G187</f>
        <v>510.56287999999995</v>
      </c>
      <c r="H196" s="193">
        <f>H191+H187</f>
        <v>-436.94799999999998</v>
      </c>
      <c r="I196" s="193">
        <f>I191+I187</f>
        <v>438.44799999999998</v>
      </c>
      <c r="J196" s="193">
        <f>J195+J191+J187</f>
        <v>72.114879999999999</v>
      </c>
      <c r="K196" s="194">
        <f>K195+K191+K187</f>
        <v>410.96320000000003</v>
      </c>
      <c r="L196" s="195" t="s">
        <v>229</v>
      </c>
      <c r="M196" s="196" t="e">
        <f>#REF!+M191+#REF!+M195+#REF!</f>
        <v>#REF!</v>
      </c>
      <c r="N196" s="196" t="e">
        <f>#REF!+N191+#REF!+N195+#REF!</f>
        <v>#REF!</v>
      </c>
      <c r="O196" s="139"/>
      <c r="P196" s="139"/>
    </row>
    <row r="197" spans="1:16" x14ac:dyDescent="0.2">
      <c r="A197" s="191"/>
      <c r="G197" s="180"/>
      <c r="H197" s="180"/>
      <c r="I197" s="180"/>
      <c r="J197" s="180"/>
      <c r="K197" s="181"/>
      <c r="L197" s="189"/>
      <c r="M197" s="192"/>
      <c r="N197" s="192"/>
      <c r="O197" s="139"/>
      <c r="P197" s="139"/>
    </row>
    <row r="198" spans="1:16" x14ac:dyDescent="0.2">
      <c r="A198" s="191" t="s">
        <v>235</v>
      </c>
      <c r="G198" s="180"/>
      <c r="H198" s="180"/>
      <c r="I198" s="180"/>
      <c r="J198" s="180"/>
      <c r="K198" s="181"/>
      <c r="L198" s="197"/>
      <c r="M198" s="192"/>
      <c r="N198" s="192"/>
      <c r="O198" s="139"/>
      <c r="P198" s="141"/>
    </row>
    <row r="199" spans="1:16" x14ac:dyDescent="0.2">
      <c r="A199" s="191" t="s">
        <v>232</v>
      </c>
      <c r="G199" s="180"/>
      <c r="H199" s="180"/>
      <c r="I199" s="180"/>
      <c r="J199" s="180"/>
      <c r="K199" s="181"/>
      <c r="O199" s="139"/>
      <c r="P199" s="139"/>
    </row>
    <row r="200" spans="1:16" x14ac:dyDescent="0.2">
      <c r="A200" s="191"/>
      <c r="B200" s="120" t="s">
        <v>198</v>
      </c>
      <c r="C200" s="120" t="s">
        <v>199</v>
      </c>
      <c r="D200" s="120" t="s">
        <v>200</v>
      </c>
      <c r="E200" s="120" t="s">
        <v>201</v>
      </c>
      <c r="F200" s="120" t="s">
        <v>201</v>
      </c>
      <c r="G200" s="180" t="s">
        <v>104</v>
      </c>
      <c r="H200" s="180" t="s">
        <v>202</v>
      </c>
      <c r="I200" s="180" t="s">
        <v>202</v>
      </c>
      <c r="J200" s="180" t="s">
        <v>203</v>
      </c>
      <c r="K200" s="181" t="s">
        <v>204</v>
      </c>
      <c r="L200" s="120" t="s">
        <v>205</v>
      </c>
      <c r="M200" s="120" t="s">
        <v>205</v>
      </c>
      <c r="N200" s="120" t="s">
        <v>205</v>
      </c>
      <c r="O200" s="139" t="s">
        <v>206</v>
      </c>
      <c r="P200" s="139"/>
    </row>
    <row r="201" spans="1:16" x14ac:dyDescent="0.2">
      <c r="A201" s="191" t="s">
        <v>207</v>
      </c>
      <c r="B201" s="120" t="s">
        <v>208</v>
      </c>
      <c r="C201" s="120" t="s">
        <v>208</v>
      </c>
      <c r="D201" s="120" t="s">
        <v>208</v>
      </c>
      <c r="E201" s="120" t="s">
        <v>208</v>
      </c>
      <c r="F201" s="120" t="s">
        <v>208</v>
      </c>
      <c r="G201" s="180" t="s">
        <v>59</v>
      </c>
      <c r="H201" s="180" t="s">
        <v>59</v>
      </c>
      <c r="I201" s="180" t="s">
        <v>59</v>
      </c>
      <c r="J201" s="180" t="s">
        <v>209</v>
      </c>
      <c r="K201" s="181" t="s">
        <v>5</v>
      </c>
      <c r="L201" s="120" t="s">
        <v>210</v>
      </c>
      <c r="M201" s="120" t="s">
        <v>211</v>
      </c>
      <c r="N201" s="120" t="s">
        <v>211</v>
      </c>
      <c r="O201" s="139"/>
      <c r="P201" s="139"/>
    </row>
    <row r="202" spans="1:16" x14ac:dyDescent="0.2">
      <c r="A202" s="191"/>
      <c r="B202" s="120">
        <v>1.2</v>
      </c>
      <c r="C202" s="120">
        <v>0.3</v>
      </c>
      <c r="D202" s="120">
        <v>17.5</v>
      </c>
      <c r="E202" s="120">
        <v>1.5</v>
      </c>
      <c r="F202" s="120">
        <v>1.5</v>
      </c>
      <c r="G202" s="180">
        <f>B202*D202*F202</f>
        <v>31.5</v>
      </c>
      <c r="H202" s="180">
        <f>F202-I202</f>
        <v>-23.7</v>
      </c>
      <c r="I202" s="180">
        <f>G202-J202</f>
        <v>25.2</v>
      </c>
      <c r="J202" s="180">
        <f>B202*C202*D202</f>
        <v>6.3</v>
      </c>
      <c r="K202" s="181">
        <f>C202*2*D202</f>
        <v>10.5</v>
      </c>
      <c r="L202" s="189">
        <f>D202/0.4+1</f>
        <v>44.75</v>
      </c>
      <c r="M202" s="189">
        <f>A202/0.3+1</f>
        <v>1</v>
      </c>
      <c r="N202" s="189">
        <f>B202/0.3+1</f>
        <v>5</v>
      </c>
      <c r="O202" s="139"/>
      <c r="P202" s="139"/>
    </row>
    <row r="203" spans="1:16" x14ac:dyDescent="0.2">
      <c r="A203" s="191"/>
      <c r="B203" s="120">
        <v>0.25</v>
      </c>
      <c r="C203" s="120">
        <v>0.2</v>
      </c>
      <c r="D203" s="120">
        <v>17.5</v>
      </c>
      <c r="G203" s="180">
        <f>B203*C203*D203</f>
        <v>0.875</v>
      </c>
      <c r="H203" s="180"/>
      <c r="I203" s="180"/>
      <c r="J203" s="180">
        <f>B203*C203*D203</f>
        <v>0.875</v>
      </c>
      <c r="K203" s="181"/>
      <c r="O203" s="139"/>
      <c r="P203" s="139"/>
    </row>
    <row r="204" spans="1:16" x14ac:dyDescent="0.2">
      <c r="A204" s="191"/>
      <c r="G204" s="180">
        <f>SUM(G202:G203)</f>
        <v>32.375</v>
      </c>
      <c r="H204" s="180">
        <f>SUM(H202:H203)</f>
        <v>-23.7</v>
      </c>
      <c r="I204" s="180">
        <f>SUM(I202:I203)</f>
        <v>25.2</v>
      </c>
      <c r="J204" s="180">
        <f>SUM(J202:J203)</f>
        <v>7.1749999999999998</v>
      </c>
      <c r="K204" s="181">
        <f>SUM(K202:K203)</f>
        <v>10.5</v>
      </c>
      <c r="O204" s="139"/>
      <c r="P204" s="139"/>
    </row>
    <row r="205" spans="1:16" x14ac:dyDescent="0.2">
      <c r="A205" s="191"/>
      <c r="G205" s="180"/>
      <c r="H205" s="180"/>
      <c r="I205" s="180"/>
      <c r="J205" s="180"/>
      <c r="K205" s="181"/>
      <c r="O205" s="139" t="s">
        <v>213</v>
      </c>
      <c r="P205" s="139"/>
    </row>
    <row r="206" spans="1:16" x14ac:dyDescent="0.2">
      <c r="A206" s="191" t="s">
        <v>214</v>
      </c>
      <c r="B206" s="120" t="s">
        <v>198</v>
      </c>
      <c r="C206" s="120" t="s">
        <v>199</v>
      </c>
      <c r="D206" s="120" t="s">
        <v>200</v>
      </c>
      <c r="E206" s="120" t="s">
        <v>201</v>
      </c>
      <c r="F206" s="120" t="s">
        <v>201</v>
      </c>
      <c r="G206" s="180" t="s">
        <v>104</v>
      </c>
      <c r="H206" s="180" t="s">
        <v>202</v>
      </c>
      <c r="I206" s="180" t="s">
        <v>202</v>
      </c>
      <c r="J206" s="180" t="s">
        <v>203</v>
      </c>
      <c r="K206" s="181" t="s">
        <v>204</v>
      </c>
      <c r="L206" s="120" t="s">
        <v>205</v>
      </c>
      <c r="M206" s="180" t="s">
        <v>215</v>
      </c>
      <c r="N206" s="180" t="s">
        <v>215</v>
      </c>
      <c r="O206" s="139" t="s">
        <v>217</v>
      </c>
      <c r="P206" s="139" t="s">
        <v>218</v>
      </c>
    </row>
    <row r="207" spans="1:16" x14ac:dyDescent="0.2">
      <c r="A207" s="191"/>
      <c r="B207" s="120" t="s">
        <v>208</v>
      </c>
      <c r="C207" s="120" t="s">
        <v>208</v>
      </c>
      <c r="D207" s="120" t="s">
        <v>208</v>
      </c>
      <c r="E207" s="120" t="s">
        <v>208</v>
      </c>
      <c r="F207" s="120" t="s">
        <v>208</v>
      </c>
      <c r="G207" s="180" t="s">
        <v>59</v>
      </c>
      <c r="H207" s="180" t="s">
        <v>59</v>
      </c>
      <c r="I207" s="180" t="s">
        <v>59</v>
      </c>
      <c r="J207" s="180" t="s">
        <v>209</v>
      </c>
      <c r="K207" s="181" t="s">
        <v>5</v>
      </c>
      <c r="L207" s="120" t="s">
        <v>219</v>
      </c>
      <c r="M207" s="180" t="s">
        <v>220</v>
      </c>
      <c r="N207" s="180" t="s">
        <v>220</v>
      </c>
      <c r="O207" s="139" t="s">
        <v>5</v>
      </c>
      <c r="P207" s="139" t="s">
        <v>221</v>
      </c>
    </row>
    <row r="208" spans="1:16" x14ac:dyDescent="0.2">
      <c r="A208" s="191"/>
      <c r="B208" s="120">
        <v>0.3</v>
      </c>
      <c r="C208" s="120">
        <v>5.65</v>
      </c>
      <c r="D208" s="120">
        <v>17.5</v>
      </c>
      <c r="G208" s="180">
        <f>(B208+2)*C208*D208</f>
        <v>227.41249999999999</v>
      </c>
      <c r="H208" s="180">
        <f>F208-I208</f>
        <v>-197.75</v>
      </c>
      <c r="I208" s="180">
        <f>G208-J208</f>
        <v>197.75</v>
      </c>
      <c r="J208" s="180">
        <f>B208*C208*D208</f>
        <v>29.662500000000001</v>
      </c>
      <c r="K208" s="181">
        <f>C208*2*D208</f>
        <v>197.75</v>
      </c>
      <c r="L208" s="189">
        <f>D208/0.2+1</f>
        <v>88.5</v>
      </c>
      <c r="M208" s="190">
        <f>(B208+0.7)*K208*3.28*0.668/2000</f>
        <v>0.21663908000000001</v>
      </c>
      <c r="N208" s="190">
        <f>(C208+0.7)*L208*3.28*0.668/2000</f>
        <v>0.61565485200000003</v>
      </c>
      <c r="O208" s="139" t="e">
        <f>#REF!</f>
        <v>#REF!</v>
      </c>
      <c r="P208" s="139">
        <v>2</v>
      </c>
    </row>
    <row r="209" spans="1:16" x14ac:dyDescent="0.2">
      <c r="A209" s="191"/>
      <c r="G209" s="180"/>
      <c r="H209" s="180"/>
      <c r="I209" s="180"/>
      <c r="J209" s="180"/>
      <c r="K209" s="181"/>
      <c r="O209" s="139"/>
      <c r="P209" s="139"/>
    </row>
    <row r="210" spans="1:16" x14ac:dyDescent="0.2">
      <c r="A210" s="191" t="s">
        <v>222</v>
      </c>
      <c r="B210" s="120" t="s">
        <v>198</v>
      </c>
      <c r="C210" s="120" t="s">
        <v>199</v>
      </c>
      <c r="D210" s="120" t="s">
        <v>200</v>
      </c>
      <c r="E210" s="120" t="s">
        <v>201</v>
      </c>
      <c r="F210" s="120" t="s">
        <v>201</v>
      </c>
      <c r="G210" s="180" t="s">
        <v>223</v>
      </c>
      <c r="H210" s="180" t="s">
        <v>224</v>
      </c>
      <c r="I210" s="180" t="s">
        <v>224</v>
      </c>
      <c r="J210" s="180" t="s">
        <v>203</v>
      </c>
      <c r="K210" s="181" t="s">
        <v>204</v>
      </c>
      <c r="L210" s="120" t="s">
        <v>205</v>
      </c>
      <c r="M210" s="180" t="s">
        <v>215</v>
      </c>
      <c r="N210" s="180" t="s">
        <v>215</v>
      </c>
      <c r="O210" s="139" t="s">
        <v>226</v>
      </c>
      <c r="P210" s="139"/>
    </row>
    <row r="211" spans="1:16" x14ac:dyDescent="0.2">
      <c r="A211" s="191"/>
      <c r="B211" s="120" t="s">
        <v>208</v>
      </c>
      <c r="C211" s="120" t="s">
        <v>208</v>
      </c>
      <c r="D211" s="120">
        <v>17.5</v>
      </c>
      <c r="E211" s="120" t="s">
        <v>208</v>
      </c>
      <c r="F211" s="120" t="s">
        <v>208</v>
      </c>
      <c r="G211" s="180" t="s">
        <v>59</v>
      </c>
      <c r="H211" s="180" t="s">
        <v>27</v>
      </c>
      <c r="I211" s="180" t="s">
        <v>27</v>
      </c>
      <c r="J211" s="180" t="s">
        <v>209</v>
      </c>
      <c r="K211" s="181" t="s">
        <v>5</v>
      </c>
      <c r="L211" s="120" t="s">
        <v>227</v>
      </c>
      <c r="M211" s="180" t="s">
        <v>220</v>
      </c>
      <c r="N211" s="180" t="s">
        <v>220</v>
      </c>
      <c r="O211" s="139" t="s">
        <v>5</v>
      </c>
      <c r="P211" s="139"/>
    </row>
    <row r="212" spans="1:16" x14ac:dyDescent="0.2">
      <c r="A212" s="191"/>
      <c r="B212" s="120">
        <v>0</v>
      </c>
      <c r="C212" s="120">
        <v>0</v>
      </c>
      <c r="D212" s="120">
        <v>17.5</v>
      </c>
      <c r="E212" s="120">
        <v>0</v>
      </c>
      <c r="F212" s="120">
        <v>0</v>
      </c>
      <c r="G212" s="180">
        <f>0.3*0.6*D212</f>
        <v>3.15</v>
      </c>
      <c r="H212" s="180">
        <f>C212</f>
        <v>0</v>
      </c>
      <c r="I212" s="180">
        <f>D212</f>
        <v>17.5</v>
      </c>
      <c r="J212" s="180">
        <f>B212*C212*D212</f>
        <v>0</v>
      </c>
      <c r="K212" s="181">
        <f>C212*2*D212</f>
        <v>0</v>
      </c>
      <c r="L212" s="189">
        <v>2</v>
      </c>
      <c r="M212" s="192">
        <f>C212*K212*3.28*0.668/2000</f>
        <v>0</v>
      </c>
      <c r="N212" s="192">
        <f>D212*L212*3.28*0.668/2000</f>
        <v>3.8343200000000001E-2</v>
      </c>
      <c r="O212" s="139"/>
      <c r="P212" s="139"/>
    </row>
    <row r="213" spans="1:16" x14ac:dyDescent="0.2">
      <c r="A213" s="191"/>
      <c r="D213" s="193"/>
      <c r="E213" s="193" t="s">
        <v>228</v>
      </c>
      <c r="F213" s="193" t="s">
        <v>228</v>
      </c>
      <c r="G213" s="193">
        <f>G208+G204</f>
        <v>259.78750000000002</v>
      </c>
      <c r="H213" s="193">
        <f>H208+H204</f>
        <v>-221.45</v>
      </c>
      <c r="I213" s="193">
        <f>I208+I204</f>
        <v>222.95</v>
      </c>
      <c r="J213" s="193">
        <f>J212+J208+J204</f>
        <v>36.837499999999999</v>
      </c>
      <c r="K213" s="194">
        <f>K212+K208+K204</f>
        <v>208.25</v>
      </c>
      <c r="L213" s="195" t="s">
        <v>229</v>
      </c>
      <c r="M213" s="196" t="e">
        <f>#REF!+M208+#REF!+M212+#REF!</f>
        <v>#REF!</v>
      </c>
      <c r="N213" s="196" t="e">
        <f>#REF!+N208+#REF!+N212+#REF!</f>
        <v>#REF!</v>
      </c>
      <c r="O213" s="139"/>
      <c r="P213" s="139"/>
    </row>
    <row r="214" spans="1:16" x14ac:dyDescent="0.2">
      <c r="A214" s="179"/>
      <c r="B214" s="190"/>
    </row>
    <row r="215" spans="1:16" x14ac:dyDescent="0.2">
      <c r="A215" s="191" t="s">
        <v>236</v>
      </c>
      <c r="G215" s="180"/>
      <c r="H215" s="180"/>
      <c r="I215" s="180"/>
      <c r="J215" s="180"/>
      <c r="K215" s="181"/>
      <c r="L215" s="197"/>
      <c r="M215" s="192"/>
      <c r="N215" s="192"/>
      <c r="O215" s="139"/>
      <c r="P215" s="141"/>
    </row>
    <row r="216" spans="1:16" x14ac:dyDescent="0.2">
      <c r="A216" s="191" t="s">
        <v>232</v>
      </c>
      <c r="G216" s="180"/>
      <c r="H216" s="180"/>
      <c r="I216" s="180"/>
      <c r="J216" s="180"/>
      <c r="K216" s="181"/>
      <c r="O216" s="139"/>
      <c r="P216" s="139"/>
    </row>
    <row r="217" spans="1:16" x14ac:dyDescent="0.2">
      <c r="A217" s="191"/>
      <c r="B217" s="120" t="s">
        <v>198</v>
      </c>
      <c r="C217" s="120" t="s">
        <v>199</v>
      </c>
      <c r="D217" s="120" t="s">
        <v>200</v>
      </c>
      <c r="E217" s="120" t="s">
        <v>201</v>
      </c>
      <c r="F217" s="120" t="s">
        <v>201</v>
      </c>
      <c r="G217" s="180" t="s">
        <v>104</v>
      </c>
      <c r="H217" s="180" t="s">
        <v>202</v>
      </c>
      <c r="I217" s="180" t="s">
        <v>202</v>
      </c>
      <c r="J217" s="180" t="s">
        <v>203</v>
      </c>
      <c r="K217" s="181" t="s">
        <v>204</v>
      </c>
      <c r="L217" s="120" t="s">
        <v>205</v>
      </c>
      <c r="M217" s="120" t="s">
        <v>205</v>
      </c>
      <c r="N217" s="120" t="s">
        <v>205</v>
      </c>
      <c r="O217" s="139" t="s">
        <v>206</v>
      </c>
      <c r="P217" s="139"/>
    </row>
    <row r="218" spans="1:16" x14ac:dyDescent="0.2">
      <c r="A218" s="191" t="s">
        <v>207</v>
      </c>
      <c r="B218" s="120" t="s">
        <v>208</v>
      </c>
      <c r="C218" s="120" t="s">
        <v>208</v>
      </c>
      <c r="D218" s="120" t="s">
        <v>208</v>
      </c>
      <c r="E218" s="120" t="s">
        <v>208</v>
      </c>
      <c r="F218" s="120" t="s">
        <v>208</v>
      </c>
      <c r="G218" s="180" t="s">
        <v>59</v>
      </c>
      <c r="H218" s="180" t="s">
        <v>59</v>
      </c>
      <c r="I218" s="180" t="s">
        <v>59</v>
      </c>
      <c r="J218" s="180" t="s">
        <v>209</v>
      </c>
      <c r="K218" s="181" t="s">
        <v>5</v>
      </c>
      <c r="L218" s="120" t="s">
        <v>210</v>
      </c>
      <c r="M218" s="120" t="s">
        <v>211</v>
      </c>
      <c r="N218" s="120" t="s">
        <v>211</v>
      </c>
      <c r="O218" s="139"/>
      <c r="P218" s="139"/>
    </row>
    <row r="219" spans="1:16" x14ac:dyDescent="0.2">
      <c r="A219" s="191"/>
      <c r="B219" s="120">
        <v>1.2</v>
      </c>
      <c r="C219" s="120">
        <v>0.3</v>
      </c>
      <c r="D219" s="120">
        <v>21.4</v>
      </c>
      <c r="E219" s="120">
        <v>1.5</v>
      </c>
      <c r="F219" s="120">
        <v>1.5</v>
      </c>
      <c r="G219" s="180">
        <f>B219*D219*F219</f>
        <v>38.519999999999996</v>
      </c>
      <c r="H219" s="180">
        <f>F219-I219</f>
        <v>-29.315999999999995</v>
      </c>
      <c r="I219" s="180">
        <f>G219-J219</f>
        <v>30.815999999999995</v>
      </c>
      <c r="J219" s="180">
        <f>B219*C219*D219</f>
        <v>7.7039999999999988</v>
      </c>
      <c r="K219" s="181">
        <f>C219*2*D219</f>
        <v>12.839999999999998</v>
      </c>
      <c r="L219" s="189">
        <f>D219/0.4+1</f>
        <v>54.499999999999993</v>
      </c>
      <c r="M219" s="189">
        <f>A219/0.3+1</f>
        <v>1</v>
      </c>
      <c r="N219" s="189">
        <f>B219/0.3+1</f>
        <v>5</v>
      </c>
      <c r="O219" s="139"/>
      <c r="P219" s="139"/>
    </row>
    <row r="220" spans="1:16" x14ac:dyDescent="0.2">
      <c r="A220" s="191"/>
      <c r="B220" s="120">
        <v>0.25</v>
      </c>
      <c r="C220" s="120">
        <v>0.2</v>
      </c>
      <c r="D220" s="120">
        <v>21.4</v>
      </c>
      <c r="G220" s="180">
        <f>B220*C220*D220</f>
        <v>1.07</v>
      </c>
      <c r="H220" s="180"/>
      <c r="I220" s="180"/>
      <c r="J220" s="180">
        <f>B220*C220*D220</f>
        <v>1.07</v>
      </c>
      <c r="K220" s="181"/>
      <c r="O220" s="139"/>
      <c r="P220" s="139"/>
    </row>
    <row r="221" spans="1:16" x14ac:dyDescent="0.2">
      <c r="A221" s="191"/>
      <c r="G221" s="180">
        <f>SUM(G219:G220)</f>
        <v>39.589999999999996</v>
      </c>
      <c r="H221" s="180">
        <f>SUM(H219:H220)</f>
        <v>-29.315999999999995</v>
      </c>
      <c r="I221" s="180">
        <f>SUM(I219:I220)</f>
        <v>30.815999999999995</v>
      </c>
      <c r="J221" s="180">
        <f>SUM(J219:J220)</f>
        <v>8.7739999999999991</v>
      </c>
      <c r="K221" s="181">
        <f>SUM(K219:K220)</f>
        <v>12.839999999999998</v>
      </c>
      <c r="O221" s="139"/>
      <c r="P221" s="139"/>
    </row>
    <row r="222" spans="1:16" x14ac:dyDescent="0.2">
      <c r="A222" s="191"/>
      <c r="G222" s="180"/>
      <c r="H222" s="180"/>
      <c r="I222" s="180"/>
      <c r="J222" s="180"/>
      <c r="K222" s="181"/>
      <c r="O222" s="139" t="s">
        <v>213</v>
      </c>
      <c r="P222" s="139"/>
    </row>
    <row r="223" spans="1:16" x14ac:dyDescent="0.2">
      <c r="A223" s="191" t="s">
        <v>214</v>
      </c>
      <c r="B223" s="120" t="s">
        <v>198</v>
      </c>
      <c r="C223" s="120" t="s">
        <v>199</v>
      </c>
      <c r="D223" s="120" t="s">
        <v>200</v>
      </c>
      <c r="E223" s="120" t="s">
        <v>201</v>
      </c>
      <c r="F223" s="120" t="s">
        <v>201</v>
      </c>
      <c r="G223" s="180" t="s">
        <v>104</v>
      </c>
      <c r="H223" s="180" t="s">
        <v>202</v>
      </c>
      <c r="I223" s="180" t="s">
        <v>202</v>
      </c>
      <c r="J223" s="180" t="s">
        <v>203</v>
      </c>
      <c r="K223" s="181" t="s">
        <v>204</v>
      </c>
      <c r="L223" s="120" t="s">
        <v>205</v>
      </c>
      <c r="M223" s="180" t="s">
        <v>215</v>
      </c>
      <c r="N223" s="180" t="s">
        <v>215</v>
      </c>
      <c r="O223" s="139" t="s">
        <v>217</v>
      </c>
      <c r="P223" s="139" t="s">
        <v>218</v>
      </c>
    </row>
    <row r="224" spans="1:16" x14ac:dyDescent="0.2">
      <c r="A224" s="191"/>
      <c r="B224" s="120" t="s">
        <v>208</v>
      </c>
      <c r="C224" s="120" t="s">
        <v>208</v>
      </c>
      <c r="D224" s="120" t="s">
        <v>208</v>
      </c>
      <c r="E224" s="120" t="s">
        <v>208</v>
      </c>
      <c r="F224" s="120" t="s">
        <v>208</v>
      </c>
      <c r="G224" s="180" t="s">
        <v>59</v>
      </c>
      <c r="H224" s="180" t="s">
        <v>59</v>
      </c>
      <c r="I224" s="180" t="s">
        <v>59</v>
      </c>
      <c r="J224" s="180" t="s">
        <v>209</v>
      </c>
      <c r="K224" s="181" t="s">
        <v>5</v>
      </c>
      <c r="L224" s="120" t="s">
        <v>219</v>
      </c>
      <c r="M224" s="180" t="s">
        <v>220</v>
      </c>
      <c r="N224" s="180" t="s">
        <v>220</v>
      </c>
      <c r="O224" s="139" t="s">
        <v>5</v>
      </c>
      <c r="P224" s="139" t="s">
        <v>221</v>
      </c>
    </row>
    <row r="225" spans="1:16" x14ac:dyDescent="0.2">
      <c r="A225" s="191"/>
      <c r="B225" s="120">
        <v>0.3</v>
      </c>
      <c r="C225" s="120">
        <v>5.65</v>
      </c>
      <c r="D225" s="120">
        <v>21.4</v>
      </c>
      <c r="G225" s="180">
        <f>(B225+2)*C225*D225</f>
        <v>278.09299999999996</v>
      </c>
      <c r="H225" s="180">
        <f>F225-I225</f>
        <v>-241.81999999999996</v>
      </c>
      <c r="I225" s="180">
        <f>G225-J225</f>
        <v>241.81999999999996</v>
      </c>
      <c r="J225" s="180">
        <f>B225*C225*D225</f>
        <v>36.272999999999996</v>
      </c>
      <c r="K225" s="181">
        <f>C225*2*D225</f>
        <v>241.82</v>
      </c>
      <c r="L225" s="189">
        <f>D225/0.2+1</f>
        <v>107.99999999999999</v>
      </c>
      <c r="M225" s="190">
        <f>(B225+0.7)*K225*3.28*0.668/2000</f>
        <v>0.26491864640000001</v>
      </c>
      <c r="N225" s="190">
        <f>(C225+0.7)*L225*3.28*0.668/2000</f>
        <v>0.75130761599999996</v>
      </c>
      <c r="O225" s="139" t="e">
        <f>#REF!</f>
        <v>#REF!</v>
      </c>
      <c r="P225" s="139">
        <v>2</v>
      </c>
    </row>
    <row r="226" spans="1:16" x14ac:dyDescent="0.2">
      <c r="A226" s="191"/>
      <c r="G226" s="180"/>
      <c r="H226" s="180"/>
      <c r="I226" s="180"/>
      <c r="J226" s="180"/>
      <c r="K226" s="181"/>
      <c r="O226" s="139"/>
      <c r="P226" s="139"/>
    </row>
    <row r="227" spans="1:16" x14ac:dyDescent="0.2">
      <c r="A227" s="191" t="s">
        <v>222</v>
      </c>
      <c r="B227" s="120" t="s">
        <v>198</v>
      </c>
      <c r="C227" s="120" t="s">
        <v>199</v>
      </c>
      <c r="D227" s="120" t="s">
        <v>200</v>
      </c>
      <c r="E227" s="120" t="s">
        <v>201</v>
      </c>
      <c r="F227" s="120" t="s">
        <v>201</v>
      </c>
      <c r="G227" s="180" t="s">
        <v>223</v>
      </c>
      <c r="H227" s="180" t="s">
        <v>224</v>
      </c>
      <c r="I227" s="180" t="s">
        <v>224</v>
      </c>
      <c r="J227" s="180" t="s">
        <v>203</v>
      </c>
      <c r="K227" s="181" t="s">
        <v>204</v>
      </c>
      <c r="L227" s="120" t="s">
        <v>205</v>
      </c>
      <c r="M227" s="180" t="s">
        <v>215</v>
      </c>
      <c r="N227" s="180" t="s">
        <v>215</v>
      </c>
      <c r="O227" s="139" t="s">
        <v>226</v>
      </c>
      <c r="P227" s="139"/>
    </row>
    <row r="228" spans="1:16" x14ac:dyDescent="0.2">
      <c r="A228" s="191"/>
      <c r="B228" s="120" t="s">
        <v>208</v>
      </c>
      <c r="C228" s="120" t="s">
        <v>208</v>
      </c>
      <c r="D228" s="120">
        <v>21.4</v>
      </c>
      <c r="E228" s="120" t="s">
        <v>208</v>
      </c>
      <c r="F228" s="120" t="s">
        <v>208</v>
      </c>
      <c r="G228" s="180" t="s">
        <v>59</v>
      </c>
      <c r="H228" s="180" t="s">
        <v>27</v>
      </c>
      <c r="I228" s="180" t="s">
        <v>27</v>
      </c>
      <c r="J228" s="180" t="s">
        <v>209</v>
      </c>
      <c r="K228" s="181" t="s">
        <v>5</v>
      </c>
      <c r="L228" s="120" t="s">
        <v>227</v>
      </c>
      <c r="M228" s="180" t="s">
        <v>220</v>
      </c>
      <c r="N228" s="180" t="s">
        <v>220</v>
      </c>
      <c r="O228" s="139" t="s">
        <v>5</v>
      </c>
      <c r="P228" s="139"/>
    </row>
    <row r="229" spans="1:16" x14ac:dyDescent="0.2">
      <c r="A229" s="191"/>
      <c r="B229" s="120">
        <v>0</v>
      </c>
      <c r="C229" s="120">
        <v>0</v>
      </c>
      <c r="D229" s="120">
        <v>21.4</v>
      </c>
      <c r="E229" s="120">
        <v>0</v>
      </c>
      <c r="F229" s="120">
        <v>0</v>
      </c>
      <c r="G229" s="180">
        <f>0.3*0.6*D229</f>
        <v>3.8519999999999994</v>
      </c>
      <c r="H229" s="180">
        <f>C229</f>
        <v>0</v>
      </c>
      <c r="I229" s="180">
        <f>D229</f>
        <v>21.4</v>
      </c>
      <c r="J229" s="180">
        <f>B229*C229*D229</f>
        <v>0</v>
      </c>
      <c r="K229" s="181">
        <f>C229*2*D229</f>
        <v>0</v>
      </c>
      <c r="L229" s="189">
        <v>2</v>
      </c>
      <c r="M229" s="192">
        <f>C229*K229*3.28*0.668/2000</f>
        <v>0</v>
      </c>
      <c r="N229" s="192">
        <f>D229*L229*3.28*0.668/2000</f>
        <v>4.6888255999999996E-2</v>
      </c>
      <c r="O229" s="139">
        <f>D229*0.55</f>
        <v>11.77</v>
      </c>
      <c r="P229" s="139"/>
    </row>
    <row r="230" spans="1:16" x14ac:dyDescent="0.2">
      <c r="A230" s="191"/>
      <c r="D230" s="193"/>
      <c r="E230" s="193" t="s">
        <v>228</v>
      </c>
      <c r="F230" s="193" t="s">
        <v>228</v>
      </c>
      <c r="G230" s="193">
        <f>G225+G221</f>
        <v>317.68299999999994</v>
      </c>
      <c r="H230" s="193">
        <f>H225+H221</f>
        <v>-271.13599999999997</v>
      </c>
      <c r="I230" s="193">
        <f>I225+I221</f>
        <v>272.63599999999997</v>
      </c>
      <c r="J230" s="193">
        <f>J229+J225+J221</f>
        <v>45.046999999999997</v>
      </c>
      <c r="K230" s="194">
        <f>K229+K225+K221</f>
        <v>254.66</v>
      </c>
      <c r="L230" s="195" t="s">
        <v>229</v>
      </c>
      <c r="M230" s="196" t="e">
        <f>#REF!+M225+#REF!+M229+#REF!</f>
        <v>#REF!</v>
      </c>
      <c r="N230" s="196" t="e">
        <f>#REF!+N225+#REF!+N229+#REF!</f>
        <v>#REF!</v>
      </c>
      <c r="O230" s="139"/>
      <c r="P230" s="139"/>
    </row>
    <row r="231" spans="1:16" x14ac:dyDescent="0.2">
      <c r="A231" s="191"/>
      <c r="D231" s="193"/>
      <c r="E231" s="193"/>
      <c r="F231" s="193"/>
      <c r="G231" s="193"/>
      <c r="H231" s="193"/>
      <c r="I231" s="193"/>
      <c r="J231" s="193"/>
      <c r="K231" s="194"/>
      <c r="L231" s="195"/>
      <c r="M231" s="196"/>
      <c r="N231" s="196"/>
      <c r="O231" s="139"/>
      <c r="P231" s="139"/>
    </row>
    <row r="232" spans="1:16" x14ac:dyDescent="0.2">
      <c r="A232" s="191" t="s">
        <v>234</v>
      </c>
      <c r="G232" s="180"/>
      <c r="H232" s="180"/>
      <c r="I232" s="180"/>
      <c r="J232" s="180"/>
      <c r="K232" s="181"/>
      <c r="L232" s="197"/>
      <c r="M232" s="192"/>
      <c r="N232" s="192"/>
      <c r="O232" s="139"/>
      <c r="P232" s="141"/>
    </row>
    <row r="233" spans="1:16" x14ac:dyDescent="0.2">
      <c r="A233" s="191" t="s">
        <v>232</v>
      </c>
      <c r="G233" s="180"/>
      <c r="H233" s="180"/>
      <c r="I233" s="180"/>
      <c r="J233" s="180"/>
      <c r="K233" s="181"/>
      <c r="O233" s="139"/>
      <c r="P233" s="139"/>
    </row>
    <row r="234" spans="1:16" x14ac:dyDescent="0.2">
      <c r="A234" s="191"/>
      <c r="B234" s="120" t="s">
        <v>198</v>
      </c>
      <c r="C234" s="120" t="s">
        <v>199</v>
      </c>
      <c r="D234" s="120" t="s">
        <v>200</v>
      </c>
      <c r="E234" s="120" t="s">
        <v>201</v>
      </c>
      <c r="F234" s="120" t="s">
        <v>201</v>
      </c>
      <c r="G234" s="180" t="s">
        <v>104</v>
      </c>
      <c r="H234" s="180" t="s">
        <v>202</v>
      </c>
      <c r="I234" s="180" t="s">
        <v>202</v>
      </c>
      <c r="J234" s="180" t="s">
        <v>203</v>
      </c>
      <c r="K234" s="181" t="s">
        <v>204</v>
      </c>
      <c r="L234" s="120" t="s">
        <v>205</v>
      </c>
      <c r="M234" s="120" t="s">
        <v>205</v>
      </c>
      <c r="N234" s="120" t="s">
        <v>205</v>
      </c>
      <c r="O234" s="139" t="s">
        <v>206</v>
      </c>
      <c r="P234" s="139"/>
    </row>
    <row r="235" spans="1:16" x14ac:dyDescent="0.2">
      <c r="A235" s="191" t="s">
        <v>207</v>
      </c>
      <c r="B235" s="120" t="s">
        <v>208</v>
      </c>
      <c r="C235" s="120" t="s">
        <v>208</v>
      </c>
      <c r="D235" s="120" t="s">
        <v>208</v>
      </c>
      <c r="E235" s="120" t="s">
        <v>208</v>
      </c>
      <c r="F235" s="120" t="s">
        <v>208</v>
      </c>
      <c r="G235" s="180" t="s">
        <v>59</v>
      </c>
      <c r="H235" s="180" t="s">
        <v>59</v>
      </c>
      <c r="I235" s="180" t="s">
        <v>59</v>
      </c>
      <c r="J235" s="180" t="s">
        <v>209</v>
      </c>
      <c r="K235" s="181" t="s">
        <v>5</v>
      </c>
      <c r="L235" s="120" t="s">
        <v>210</v>
      </c>
      <c r="M235" s="120" t="s">
        <v>211</v>
      </c>
      <c r="N235" s="120" t="s">
        <v>211</v>
      </c>
      <c r="O235" s="139"/>
      <c r="P235" s="139"/>
    </row>
    <row r="236" spans="1:16" x14ac:dyDescent="0.2">
      <c r="A236" s="191"/>
      <c r="B236" s="120">
        <v>1.2</v>
      </c>
      <c r="C236" s="120">
        <v>0.3</v>
      </c>
      <c r="D236" s="120">
        <v>35.06</v>
      </c>
      <c r="E236" s="120">
        <v>1.5</v>
      </c>
      <c r="F236" s="120">
        <v>1.5</v>
      </c>
      <c r="G236" s="180">
        <f>B236*D236*F236</f>
        <v>63.108000000000004</v>
      </c>
      <c r="H236" s="180">
        <f>F236-I236</f>
        <v>-48.986400000000003</v>
      </c>
      <c r="I236" s="180">
        <f>G236-J236</f>
        <v>50.486400000000003</v>
      </c>
      <c r="J236" s="180">
        <f>B236*C236*D236</f>
        <v>12.621600000000001</v>
      </c>
      <c r="K236" s="181">
        <f>C236*2*D236</f>
        <v>21.036000000000001</v>
      </c>
      <c r="L236" s="189">
        <f>D236/0.4+1</f>
        <v>88.65</v>
      </c>
      <c r="M236" s="189">
        <f>A236/0.3+1</f>
        <v>1</v>
      </c>
      <c r="N236" s="189">
        <f>B236/0.3+1</f>
        <v>5</v>
      </c>
      <c r="O236" s="139"/>
      <c r="P236" s="139"/>
    </row>
    <row r="237" spans="1:16" x14ac:dyDescent="0.2">
      <c r="A237" s="191"/>
      <c r="B237" s="120">
        <v>0.25</v>
      </c>
      <c r="C237" s="120">
        <v>0.2</v>
      </c>
      <c r="D237" s="120">
        <v>35.06</v>
      </c>
      <c r="G237" s="180">
        <f>B237*C237*D237</f>
        <v>1.7530000000000001</v>
      </c>
      <c r="H237" s="180"/>
      <c r="I237" s="180"/>
      <c r="J237" s="180">
        <f>B237*C237*D237</f>
        <v>1.7530000000000001</v>
      </c>
      <c r="K237" s="181"/>
      <c r="O237" s="139"/>
      <c r="P237" s="139"/>
    </row>
    <row r="238" spans="1:16" x14ac:dyDescent="0.2">
      <c r="A238" s="191"/>
      <c r="G238" s="180">
        <f>SUM(G236:G237)</f>
        <v>64.861000000000004</v>
      </c>
      <c r="H238" s="180">
        <f>SUM(H236:H237)</f>
        <v>-48.986400000000003</v>
      </c>
      <c r="I238" s="180">
        <f>SUM(I236:I237)</f>
        <v>50.486400000000003</v>
      </c>
      <c r="J238" s="180">
        <f>SUM(J236:J237)</f>
        <v>14.374600000000001</v>
      </c>
      <c r="K238" s="181">
        <f>SUM(K236:K237)</f>
        <v>21.036000000000001</v>
      </c>
      <c r="O238" s="139"/>
      <c r="P238" s="139"/>
    </row>
    <row r="239" spans="1:16" x14ac:dyDescent="0.2">
      <c r="A239" s="191"/>
      <c r="G239" s="180"/>
      <c r="H239" s="180"/>
      <c r="I239" s="180"/>
      <c r="J239" s="180"/>
      <c r="K239" s="181"/>
      <c r="O239" s="139" t="s">
        <v>213</v>
      </c>
      <c r="P239" s="139"/>
    </row>
    <row r="240" spans="1:16" x14ac:dyDescent="0.2">
      <c r="A240" s="191" t="s">
        <v>214</v>
      </c>
      <c r="B240" s="120" t="s">
        <v>198</v>
      </c>
      <c r="C240" s="120" t="s">
        <v>199</v>
      </c>
      <c r="D240" s="120" t="s">
        <v>200</v>
      </c>
      <c r="E240" s="120" t="s">
        <v>201</v>
      </c>
      <c r="F240" s="120" t="s">
        <v>201</v>
      </c>
      <c r="G240" s="180" t="s">
        <v>104</v>
      </c>
      <c r="H240" s="180" t="s">
        <v>202</v>
      </c>
      <c r="I240" s="180" t="s">
        <v>202</v>
      </c>
      <c r="J240" s="180" t="s">
        <v>203</v>
      </c>
      <c r="K240" s="181" t="s">
        <v>204</v>
      </c>
      <c r="L240" s="120" t="s">
        <v>205</v>
      </c>
      <c r="M240" s="180" t="s">
        <v>215</v>
      </c>
      <c r="N240" s="180" t="s">
        <v>215</v>
      </c>
      <c r="O240" s="139" t="s">
        <v>217</v>
      </c>
      <c r="P240" s="139" t="s">
        <v>218</v>
      </c>
    </row>
    <row r="241" spans="1:16" x14ac:dyDescent="0.2">
      <c r="A241" s="191"/>
      <c r="B241" s="120" t="s">
        <v>208</v>
      </c>
      <c r="C241" s="120" t="s">
        <v>208</v>
      </c>
      <c r="D241" s="120" t="s">
        <v>208</v>
      </c>
      <c r="E241" s="120" t="s">
        <v>208</v>
      </c>
      <c r="F241" s="120" t="s">
        <v>208</v>
      </c>
      <c r="G241" s="180" t="s">
        <v>59</v>
      </c>
      <c r="H241" s="180" t="s">
        <v>59</v>
      </c>
      <c r="I241" s="180" t="s">
        <v>59</v>
      </c>
      <c r="J241" s="180" t="s">
        <v>209</v>
      </c>
      <c r="K241" s="181" t="s">
        <v>5</v>
      </c>
      <c r="L241" s="120" t="s">
        <v>219</v>
      </c>
      <c r="M241" s="180" t="s">
        <v>220</v>
      </c>
      <c r="N241" s="180" t="s">
        <v>220</v>
      </c>
      <c r="O241" s="139" t="s">
        <v>5</v>
      </c>
      <c r="P241" s="139" t="s">
        <v>221</v>
      </c>
    </row>
    <row r="242" spans="1:16" x14ac:dyDescent="0.2">
      <c r="A242" s="191"/>
      <c r="B242" s="120">
        <v>0.3</v>
      </c>
      <c r="C242" s="120">
        <v>2.7</v>
      </c>
      <c r="D242" s="120">
        <v>35.06</v>
      </c>
      <c r="G242" s="180">
        <f>(B242+2)*C242*D242</f>
        <v>217.7226</v>
      </c>
      <c r="H242" s="180">
        <f>F242-I242</f>
        <v>-189.32399999999998</v>
      </c>
      <c r="I242" s="180">
        <f>G242-J242</f>
        <v>189.32399999999998</v>
      </c>
      <c r="J242" s="180">
        <f>B242*C242*D242</f>
        <v>28.398600000000005</v>
      </c>
      <c r="K242" s="181">
        <f>C242*2*D242</f>
        <v>189.32400000000001</v>
      </c>
      <c r="L242" s="189">
        <f>D242/0.2+1</f>
        <v>176.3</v>
      </c>
      <c r="M242" s="190">
        <f>(B242+0.7)*K242*3.28*0.668/2000</f>
        <v>0.20740822847999998</v>
      </c>
      <c r="N242" s="190">
        <f>(C242+0.7)*L242*3.28*0.668/2000</f>
        <v>0.65667659840000014</v>
      </c>
      <c r="O242" s="139" t="e">
        <f>#REF!</f>
        <v>#REF!</v>
      </c>
      <c r="P242" s="139">
        <v>2</v>
      </c>
    </row>
    <row r="243" spans="1:16" x14ac:dyDescent="0.2">
      <c r="A243" s="191"/>
      <c r="G243" s="180"/>
      <c r="H243" s="180"/>
      <c r="I243" s="180"/>
      <c r="J243" s="180"/>
      <c r="K243" s="181"/>
      <c r="O243" s="139"/>
      <c r="P243" s="139"/>
    </row>
    <row r="244" spans="1:16" x14ac:dyDescent="0.2">
      <c r="A244" s="191" t="s">
        <v>222</v>
      </c>
      <c r="B244" s="120" t="s">
        <v>198</v>
      </c>
      <c r="C244" s="120" t="s">
        <v>199</v>
      </c>
      <c r="D244" s="120" t="s">
        <v>200</v>
      </c>
      <c r="E244" s="120" t="s">
        <v>201</v>
      </c>
      <c r="F244" s="120" t="s">
        <v>201</v>
      </c>
      <c r="G244" s="180" t="s">
        <v>223</v>
      </c>
      <c r="H244" s="180" t="s">
        <v>224</v>
      </c>
      <c r="I244" s="180" t="s">
        <v>224</v>
      </c>
      <c r="J244" s="180" t="s">
        <v>203</v>
      </c>
      <c r="K244" s="181" t="s">
        <v>204</v>
      </c>
      <c r="L244" s="120" t="s">
        <v>205</v>
      </c>
      <c r="M244" s="180" t="s">
        <v>215</v>
      </c>
      <c r="N244" s="180" t="s">
        <v>215</v>
      </c>
      <c r="O244" s="139" t="s">
        <v>226</v>
      </c>
      <c r="P244" s="139"/>
    </row>
    <row r="245" spans="1:16" x14ac:dyDescent="0.2">
      <c r="A245" s="191"/>
      <c r="B245" s="120" t="s">
        <v>208</v>
      </c>
      <c r="C245" s="120" t="s">
        <v>208</v>
      </c>
      <c r="D245" s="120">
        <v>35.06</v>
      </c>
      <c r="E245" s="120" t="s">
        <v>208</v>
      </c>
      <c r="F245" s="120" t="s">
        <v>208</v>
      </c>
      <c r="G245" s="180" t="s">
        <v>59</v>
      </c>
      <c r="H245" s="180" t="s">
        <v>27</v>
      </c>
      <c r="I245" s="180" t="s">
        <v>27</v>
      </c>
      <c r="J245" s="180" t="s">
        <v>209</v>
      </c>
      <c r="K245" s="181" t="s">
        <v>5</v>
      </c>
      <c r="L245" s="120" t="s">
        <v>227</v>
      </c>
      <c r="M245" s="180" t="s">
        <v>220</v>
      </c>
      <c r="N245" s="180" t="s">
        <v>220</v>
      </c>
      <c r="O245" s="139" t="s">
        <v>5</v>
      </c>
      <c r="P245" s="139"/>
    </row>
    <row r="246" spans="1:16" x14ac:dyDescent="0.2">
      <c r="A246" s="191"/>
      <c r="B246" s="120">
        <v>0</v>
      </c>
      <c r="C246" s="120">
        <v>0</v>
      </c>
      <c r="D246" s="120">
        <v>35.06</v>
      </c>
      <c r="E246" s="120">
        <v>0</v>
      </c>
      <c r="F246" s="120">
        <v>0</v>
      </c>
      <c r="G246" s="180">
        <f>0.3*0.6*D246</f>
        <v>6.3108000000000004</v>
      </c>
      <c r="H246" s="180">
        <f>C246</f>
        <v>0</v>
      </c>
      <c r="I246" s="180">
        <f>D246</f>
        <v>35.06</v>
      </c>
      <c r="J246" s="180">
        <f>B246*C246*D246</f>
        <v>0</v>
      </c>
      <c r="K246" s="181">
        <f>C246*2*D246</f>
        <v>0</v>
      </c>
      <c r="L246" s="189">
        <v>2</v>
      </c>
      <c r="M246" s="192">
        <f>C246*K246*3.28*0.668/2000</f>
        <v>0</v>
      </c>
      <c r="N246" s="192">
        <f>D246*L246*3.28*0.668/2000</f>
        <v>7.6817862400000006E-2</v>
      </c>
      <c r="O246" s="139">
        <f>D246*0.55</f>
        <v>19.283000000000001</v>
      </c>
      <c r="P246" s="139"/>
    </row>
    <row r="247" spans="1:16" x14ac:dyDescent="0.2">
      <c r="A247" s="191"/>
      <c r="D247" s="193"/>
      <c r="E247" s="193" t="s">
        <v>228</v>
      </c>
      <c r="F247" s="193" t="s">
        <v>228</v>
      </c>
      <c r="G247" s="193">
        <f>G242+G238</f>
        <v>282.58359999999999</v>
      </c>
      <c r="H247" s="193">
        <f>H242+H238</f>
        <v>-238.31039999999999</v>
      </c>
      <c r="I247" s="193">
        <f>I242+I238</f>
        <v>239.81039999999999</v>
      </c>
      <c r="J247" s="193">
        <f>J246+J242+J238</f>
        <v>42.773200000000003</v>
      </c>
      <c r="K247" s="194">
        <f>K246+K242+K238</f>
        <v>210.36</v>
      </c>
      <c r="L247" s="195" t="s">
        <v>229</v>
      </c>
      <c r="M247" s="196" t="e">
        <f>#REF!+M242+#REF!+M246+#REF!</f>
        <v>#REF!</v>
      </c>
      <c r="N247" s="196" t="e">
        <f>#REF!+N242+#REF!+N246+#REF!</f>
        <v>#REF!</v>
      </c>
      <c r="O247" s="139"/>
      <c r="P247" s="139"/>
    </row>
    <row r="248" spans="1:16" x14ac:dyDescent="0.2">
      <c r="A248" s="191"/>
      <c r="D248" s="193"/>
      <c r="E248" s="193"/>
      <c r="F248" s="193"/>
      <c r="G248" s="193"/>
      <c r="H248" s="193"/>
      <c r="I248" s="193"/>
      <c r="J248" s="193"/>
      <c r="K248" s="194"/>
      <c r="L248" s="195"/>
      <c r="M248" s="196"/>
      <c r="N248" s="196"/>
      <c r="O248" s="139"/>
      <c r="P248" s="139"/>
    </row>
    <row r="249" spans="1:16" x14ac:dyDescent="0.2">
      <c r="A249" s="191"/>
      <c r="D249" s="193"/>
      <c r="E249" s="193"/>
      <c r="F249" s="193"/>
      <c r="G249" s="193">
        <f>G247+G230+G213+G196+G179</f>
        <v>2214.5379800000001</v>
      </c>
      <c r="H249" s="193">
        <f>H247+H230+H213+H196+H179</f>
        <v>-1894.3232</v>
      </c>
      <c r="I249" s="193">
        <f>I247+I230+I213+I196+I179</f>
        <v>1901.8232</v>
      </c>
      <c r="J249" s="193">
        <f>J247+J230+J213+J196+J179</f>
        <v>312.71478000000002</v>
      </c>
      <c r="K249" s="194">
        <f>K247+K230+K213+K196+K179</f>
        <v>1783.0052000000001</v>
      </c>
      <c r="L249" s="195"/>
      <c r="M249" s="196" t="e">
        <f>M247+M230+M213+M196+M179</f>
        <v>#REF!</v>
      </c>
      <c r="N249" s="196" t="e">
        <f>N247+N230+N213+N196+N179</f>
        <v>#REF!</v>
      </c>
      <c r="O249" s="139"/>
      <c r="P249" s="139"/>
    </row>
    <row r="250" spans="1:16" x14ac:dyDescent="0.2">
      <c r="A250" s="191"/>
      <c r="D250" s="193"/>
      <c r="E250" s="193"/>
      <c r="F250" s="193"/>
      <c r="G250" s="193"/>
      <c r="H250" s="193">
        <f>H246+H229+H212+H195+H178</f>
        <v>0</v>
      </c>
      <c r="I250" s="193">
        <f>I246+I229+I212+I195+I178</f>
        <v>141.45000000000002</v>
      </c>
      <c r="J250" s="193"/>
      <c r="K250" s="194"/>
      <c r="L250" s="195"/>
      <c r="M250" s="196"/>
      <c r="N250" s="196"/>
      <c r="O250" s="139"/>
      <c r="P250" s="139"/>
    </row>
    <row r="251" spans="1:16" x14ac:dyDescent="0.2">
      <c r="A251" s="191"/>
      <c r="D251" s="193"/>
      <c r="E251" s="193"/>
      <c r="F251" s="193"/>
      <c r="G251" s="193"/>
      <c r="H251" s="193"/>
      <c r="I251" s="193"/>
      <c r="J251" s="193"/>
      <c r="K251" s="194"/>
      <c r="L251" s="195"/>
      <c r="M251" s="196"/>
      <c r="N251" s="196"/>
      <c r="O251" s="139"/>
      <c r="P251" s="139"/>
    </row>
    <row r="252" spans="1:16" x14ac:dyDescent="0.2">
      <c r="A252" s="191"/>
      <c r="D252" s="193"/>
      <c r="E252" s="193"/>
      <c r="F252" s="193"/>
      <c r="G252" s="193"/>
      <c r="H252" s="193"/>
      <c r="I252" s="193"/>
      <c r="J252" s="193"/>
      <c r="K252" s="194"/>
      <c r="L252" s="195"/>
      <c r="M252" s="196"/>
      <c r="N252" s="196"/>
      <c r="O252" s="139"/>
      <c r="P252" s="139"/>
    </row>
    <row r="253" spans="1:16" x14ac:dyDescent="0.2">
      <c r="A253" s="179"/>
    </row>
    <row r="254" spans="1:16" x14ac:dyDescent="0.2">
      <c r="A254" s="191" t="s">
        <v>237</v>
      </c>
      <c r="G254" s="180"/>
      <c r="H254" s="180"/>
      <c r="I254" s="180"/>
      <c r="J254" s="180"/>
      <c r="K254" s="181"/>
      <c r="L254" s="197"/>
      <c r="M254" s="192"/>
      <c r="N254" s="192"/>
      <c r="O254" s="139"/>
      <c r="P254" s="141"/>
    </row>
    <row r="255" spans="1:16" x14ac:dyDescent="0.2">
      <c r="A255" s="191" t="s">
        <v>232</v>
      </c>
      <c r="G255" s="180"/>
      <c r="H255" s="180"/>
      <c r="I255" s="180"/>
      <c r="J255" s="180"/>
      <c r="K255" s="181"/>
      <c r="O255" s="139"/>
      <c r="P255" s="139"/>
    </row>
    <row r="256" spans="1:16" x14ac:dyDescent="0.2">
      <c r="A256" s="191"/>
      <c r="B256" s="120" t="s">
        <v>198</v>
      </c>
      <c r="C256" s="120" t="s">
        <v>199</v>
      </c>
      <c r="D256" s="120" t="s">
        <v>200</v>
      </c>
      <c r="E256" s="120" t="s">
        <v>201</v>
      </c>
      <c r="F256" s="120" t="s">
        <v>201</v>
      </c>
      <c r="G256" s="180" t="s">
        <v>104</v>
      </c>
      <c r="H256" s="180" t="s">
        <v>202</v>
      </c>
      <c r="I256" s="180" t="s">
        <v>202</v>
      </c>
      <c r="J256" s="180" t="s">
        <v>203</v>
      </c>
      <c r="K256" s="181" t="s">
        <v>204</v>
      </c>
      <c r="L256" s="120" t="s">
        <v>205</v>
      </c>
      <c r="M256" s="120" t="s">
        <v>205</v>
      </c>
      <c r="N256" s="120" t="s">
        <v>205</v>
      </c>
      <c r="O256" s="139" t="s">
        <v>206</v>
      </c>
      <c r="P256" s="139"/>
    </row>
    <row r="257" spans="1:16" x14ac:dyDescent="0.2">
      <c r="A257" s="191" t="s">
        <v>207</v>
      </c>
      <c r="B257" s="120" t="s">
        <v>208</v>
      </c>
      <c r="C257" s="120" t="s">
        <v>208</v>
      </c>
      <c r="D257" s="120" t="s">
        <v>208</v>
      </c>
      <c r="E257" s="120" t="s">
        <v>208</v>
      </c>
      <c r="F257" s="120" t="s">
        <v>208</v>
      </c>
      <c r="G257" s="180" t="s">
        <v>59</v>
      </c>
      <c r="H257" s="180" t="s">
        <v>59</v>
      </c>
      <c r="I257" s="180" t="s">
        <v>59</v>
      </c>
      <c r="J257" s="180" t="s">
        <v>209</v>
      </c>
      <c r="K257" s="181" t="s">
        <v>5</v>
      </c>
      <c r="L257" s="120" t="s">
        <v>210</v>
      </c>
      <c r="M257" s="120" t="s">
        <v>211</v>
      </c>
      <c r="N257" s="120" t="s">
        <v>211</v>
      </c>
      <c r="O257" s="139"/>
      <c r="P257" s="139"/>
    </row>
    <row r="258" spans="1:16" x14ac:dyDescent="0.2">
      <c r="A258" s="191"/>
      <c r="B258" s="120">
        <v>1.5</v>
      </c>
      <c r="C258" s="120">
        <v>0.3</v>
      </c>
      <c r="D258" s="120">
        <v>8.5</v>
      </c>
      <c r="E258" s="120">
        <v>1.5</v>
      </c>
      <c r="F258" s="120">
        <v>1.5</v>
      </c>
      <c r="G258" s="180">
        <f>B258*D258*F258</f>
        <v>19.125</v>
      </c>
      <c r="H258" s="180">
        <f>F258-I258</f>
        <v>-13.8</v>
      </c>
      <c r="I258" s="180">
        <f>G258-J258</f>
        <v>15.3</v>
      </c>
      <c r="J258" s="180">
        <f>B258*C258*D258</f>
        <v>3.8249999999999997</v>
      </c>
      <c r="K258" s="181">
        <f>C258*2*D258</f>
        <v>5.0999999999999996</v>
      </c>
      <c r="L258" s="189">
        <f>D258/0.4+1</f>
        <v>22.25</v>
      </c>
      <c r="M258" s="189">
        <f>A258/0.3+1</f>
        <v>1</v>
      </c>
      <c r="N258" s="189">
        <f>B258/0.3+1</f>
        <v>6</v>
      </c>
      <c r="O258" s="139"/>
      <c r="P258" s="139"/>
    </row>
    <row r="259" spans="1:16" x14ac:dyDescent="0.2">
      <c r="A259" s="191"/>
      <c r="B259" s="120">
        <v>0.25</v>
      </c>
      <c r="C259" s="120">
        <v>0.2</v>
      </c>
      <c r="D259" s="120">
        <v>8.5</v>
      </c>
      <c r="G259" s="180">
        <f>B259*C259*D259</f>
        <v>0.42500000000000004</v>
      </c>
      <c r="H259" s="180"/>
      <c r="I259" s="180"/>
      <c r="J259" s="180">
        <f>B259*C259*D259</f>
        <v>0.42500000000000004</v>
      </c>
      <c r="K259" s="181"/>
      <c r="O259" s="139"/>
      <c r="P259" s="139"/>
    </row>
    <row r="260" spans="1:16" x14ac:dyDescent="0.2">
      <c r="A260" s="191"/>
      <c r="G260" s="180">
        <f>SUM(G258:G259)</f>
        <v>19.55</v>
      </c>
      <c r="H260" s="180">
        <f>SUM(H258:H259)</f>
        <v>-13.8</v>
      </c>
      <c r="I260" s="180">
        <f>SUM(I258:I259)</f>
        <v>15.3</v>
      </c>
      <c r="J260" s="180">
        <f>SUM(J258:J259)</f>
        <v>4.25</v>
      </c>
      <c r="K260" s="181">
        <f>SUM(K258:K259)</f>
        <v>5.0999999999999996</v>
      </c>
      <c r="O260" s="139"/>
      <c r="P260" s="139"/>
    </row>
    <row r="261" spans="1:16" x14ac:dyDescent="0.2">
      <c r="A261" s="191"/>
      <c r="G261" s="180"/>
      <c r="H261" s="180"/>
      <c r="I261" s="180"/>
      <c r="J261" s="180"/>
      <c r="K261" s="181"/>
      <c r="O261" s="139" t="s">
        <v>213</v>
      </c>
      <c r="P261" s="139"/>
    </row>
    <row r="262" spans="1:16" x14ac:dyDescent="0.2">
      <c r="A262" s="191" t="s">
        <v>214</v>
      </c>
      <c r="B262" s="120" t="s">
        <v>198</v>
      </c>
      <c r="C262" s="120" t="s">
        <v>199</v>
      </c>
      <c r="D262" s="120" t="s">
        <v>200</v>
      </c>
      <c r="E262" s="120" t="s">
        <v>201</v>
      </c>
      <c r="F262" s="120" t="s">
        <v>201</v>
      </c>
      <c r="G262" s="180" t="s">
        <v>104</v>
      </c>
      <c r="H262" s="180" t="s">
        <v>202</v>
      </c>
      <c r="I262" s="180" t="s">
        <v>202</v>
      </c>
      <c r="J262" s="180" t="s">
        <v>203</v>
      </c>
      <c r="K262" s="181" t="s">
        <v>204</v>
      </c>
      <c r="L262" s="120" t="s">
        <v>205</v>
      </c>
      <c r="M262" s="180" t="s">
        <v>215</v>
      </c>
      <c r="N262" s="180" t="s">
        <v>215</v>
      </c>
      <c r="O262" s="139" t="s">
        <v>217</v>
      </c>
      <c r="P262" s="139" t="s">
        <v>218</v>
      </c>
    </row>
    <row r="263" spans="1:16" x14ac:dyDescent="0.2">
      <c r="A263" s="191"/>
      <c r="B263" s="120" t="s">
        <v>208</v>
      </c>
      <c r="C263" s="120" t="s">
        <v>208</v>
      </c>
      <c r="D263" s="120" t="s">
        <v>208</v>
      </c>
      <c r="E263" s="120" t="s">
        <v>208</v>
      </c>
      <c r="F263" s="120" t="s">
        <v>208</v>
      </c>
      <c r="G263" s="180" t="s">
        <v>59</v>
      </c>
      <c r="H263" s="180" t="s">
        <v>59</v>
      </c>
      <c r="I263" s="180" t="s">
        <v>59</v>
      </c>
      <c r="J263" s="180" t="s">
        <v>209</v>
      </c>
      <c r="K263" s="181" t="s">
        <v>5</v>
      </c>
      <c r="L263" s="120" t="s">
        <v>219</v>
      </c>
      <c r="M263" s="180" t="s">
        <v>220</v>
      </c>
      <c r="N263" s="180" t="s">
        <v>220</v>
      </c>
      <c r="O263" s="139" t="s">
        <v>5</v>
      </c>
      <c r="P263" s="139" t="s">
        <v>221</v>
      </c>
    </row>
    <row r="264" spans="1:16" x14ac:dyDescent="0.2">
      <c r="A264" s="191"/>
      <c r="B264" s="120">
        <v>0.3</v>
      </c>
      <c r="C264" s="120">
        <v>5.5</v>
      </c>
      <c r="D264" s="120">
        <v>8.5</v>
      </c>
      <c r="G264" s="180">
        <f>(B264+2)*C264*D264</f>
        <v>107.52499999999999</v>
      </c>
      <c r="H264" s="180">
        <f>F264-I264</f>
        <v>-93.5</v>
      </c>
      <c r="I264" s="180">
        <f>G264-J264</f>
        <v>93.5</v>
      </c>
      <c r="J264" s="180">
        <f>B264*C264*D264</f>
        <v>14.024999999999999</v>
      </c>
      <c r="K264" s="181">
        <f>C264*2*D264</f>
        <v>93.5</v>
      </c>
      <c r="L264" s="189">
        <f>D264/0.2+1</f>
        <v>43.5</v>
      </c>
      <c r="M264" s="190">
        <f>(B264+0.7)*K264*3.28*0.668/2000</f>
        <v>0.10243112</v>
      </c>
      <c r="N264" s="190">
        <f>(C264+0.7)*L264*3.28*0.668/2000</f>
        <v>0.29546174399999997</v>
      </c>
      <c r="O264" s="139" t="e">
        <f>#REF!</f>
        <v>#REF!</v>
      </c>
      <c r="P264" s="139">
        <v>2</v>
      </c>
    </row>
    <row r="265" spans="1:16" x14ac:dyDescent="0.2">
      <c r="A265" s="191"/>
      <c r="G265" s="180"/>
      <c r="H265" s="180"/>
      <c r="I265" s="180"/>
      <c r="J265" s="180"/>
      <c r="K265" s="181"/>
      <c r="L265" s="189"/>
      <c r="M265" s="190"/>
      <c r="N265" s="190"/>
      <c r="O265" s="139"/>
      <c r="P265" s="139"/>
    </row>
    <row r="266" spans="1:16" x14ac:dyDescent="0.2">
      <c r="A266" s="191"/>
      <c r="G266" s="180"/>
      <c r="H266" s="180"/>
      <c r="I266" s="180"/>
      <c r="J266" s="180"/>
      <c r="K266" s="181"/>
      <c r="O266" s="139" t="s">
        <v>213</v>
      </c>
      <c r="P266" s="139"/>
    </row>
    <row r="267" spans="1:16" x14ac:dyDescent="0.2">
      <c r="A267" s="191" t="s">
        <v>214</v>
      </c>
      <c r="B267" s="120" t="s">
        <v>198</v>
      </c>
      <c r="C267" s="120" t="s">
        <v>199</v>
      </c>
      <c r="D267" s="120" t="s">
        <v>200</v>
      </c>
      <c r="E267" s="120" t="s">
        <v>201</v>
      </c>
      <c r="F267" s="120" t="s">
        <v>201</v>
      </c>
      <c r="G267" s="180" t="s">
        <v>104</v>
      </c>
      <c r="H267" s="180" t="s">
        <v>202</v>
      </c>
      <c r="I267" s="180" t="s">
        <v>202</v>
      </c>
      <c r="J267" s="180" t="s">
        <v>203</v>
      </c>
      <c r="K267" s="181" t="s">
        <v>204</v>
      </c>
      <c r="L267" s="120" t="s">
        <v>205</v>
      </c>
      <c r="M267" s="180" t="s">
        <v>215</v>
      </c>
      <c r="N267" s="180" t="s">
        <v>215</v>
      </c>
      <c r="O267" s="139" t="s">
        <v>217</v>
      </c>
      <c r="P267" s="139" t="s">
        <v>218</v>
      </c>
    </row>
    <row r="268" spans="1:16" x14ac:dyDescent="0.2">
      <c r="A268" s="191"/>
      <c r="B268" s="120" t="s">
        <v>208</v>
      </c>
      <c r="C268" s="120" t="s">
        <v>208</v>
      </c>
      <c r="D268" s="120" t="s">
        <v>208</v>
      </c>
      <c r="E268" s="120" t="s">
        <v>208</v>
      </c>
      <c r="F268" s="120" t="s">
        <v>208</v>
      </c>
      <c r="G268" s="180" t="s">
        <v>59</v>
      </c>
      <c r="H268" s="180" t="s">
        <v>59</v>
      </c>
      <c r="I268" s="180" t="s">
        <v>59</v>
      </c>
      <c r="J268" s="180" t="s">
        <v>209</v>
      </c>
      <c r="K268" s="181" t="s">
        <v>5</v>
      </c>
      <c r="L268" s="120" t="s">
        <v>219</v>
      </c>
      <c r="M268" s="180" t="s">
        <v>220</v>
      </c>
      <c r="N268" s="180" t="s">
        <v>220</v>
      </c>
      <c r="O268" s="139" t="s">
        <v>5</v>
      </c>
      <c r="P268" s="139" t="s">
        <v>221</v>
      </c>
    </row>
    <row r="269" spans="1:16" x14ac:dyDescent="0.2">
      <c r="A269" s="191"/>
      <c r="B269" s="120">
        <v>0.3</v>
      </c>
      <c r="C269" s="120">
        <v>3</v>
      </c>
      <c r="D269" s="120">
        <v>8.5</v>
      </c>
      <c r="G269" s="180">
        <f>(B269+2)*C269*D269</f>
        <v>58.65</v>
      </c>
      <c r="H269" s="180">
        <f>F269-I269</f>
        <v>-51</v>
      </c>
      <c r="I269" s="180">
        <f>G269-J269</f>
        <v>51</v>
      </c>
      <c r="J269" s="180">
        <f>B269*C269*D269</f>
        <v>7.6499999999999995</v>
      </c>
      <c r="K269" s="181">
        <f>C269*2*D269</f>
        <v>51</v>
      </c>
      <c r="L269" s="189">
        <f>D269/0.2+1</f>
        <v>43.5</v>
      </c>
      <c r="M269" s="190">
        <f>(B269+0.7)*K269*3.28*0.668/2000</f>
        <v>5.5871520000000001E-2</v>
      </c>
      <c r="N269" s="190">
        <f>(C269+0.7)*L269*3.28*0.668/2000</f>
        <v>0.17632394400000004</v>
      </c>
      <c r="O269" s="139" t="e">
        <f>#REF!</f>
        <v>#REF!</v>
      </c>
      <c r="P269" s="139">
        <v>2</v>
      </c>
    </row>
    <row r="270" spans="1:16" x14ac:dyDescent="0.2">
      <c r="A270" s="191"/>
      <c r="G270" s="180"/>
      <c r="H270" s="180"/>
      <c r="I270" s="180"/>
      <c r="J270" s="180"/>
      <c r="K270" s="181"/>
      <c r="L270" s="189"/>
      <c r="M270" s="190"/>
      <c r="N270" s="190"/>
      <c r="O270" s="139"/>
      <c r="P270" s="139"/>
    </row>
    <row r="271" spans="1:16" x14ac:dyDescent="0.2">
      <c r="A271" s="191" t="s">
        <v>222</v>
      </c>
      <c r="B271" s="120" t="s">
        <v>198</v>
      </c>
      <c r="C271" s="120" t="s">
        <v>199</v>
      </c>
      <c r="D271" s="120" t="s">
        <v>200</v>
      </c>
      <c r="E271" s="120" t="s">
        <v>201</v>
      </c>
      <c r="F271" s="120" t="s">
        <v>201</v>
      </c>
      <c r="G271" s="180" t="s">
        <v>223</v>
      </c>
      <c r="H271" s="180" t="s">
        <v>224</v>
      </c>
      <c r="I271" s="180" t="s">
        <v>224</v>
      </c>
      <c r="J271" s="180" t="s">
        <v>203</v>
      </c>
      <c r="K271" s="181" t="s">
        <v>204</v>
      </c>
      <c r="L271" s="120" t="s">
        <v>205</v>
      </c>
      <c r="M271" s="180" t="s">
        <v>215</v>
      </c>
      <c r="N271" s="180" t="s">
        <v>215</v>
      </c>
      <c r="O271" s="139" t="s">
        <v>226</v>
      </c>
      <c r="P271" s="139"/>
    </row>
    <row r="272" spans="1:16" x14ac:dyDescent="0.2">
      <c r="A272" s="191"/>
      <c r="B272" s="120" t="s">
        <v>208</v>
      </c>
      <c r="C272" s="120" t="s">
        <v>208</v>
      </c>
      <c r="D272" s="120">
        <v>8.5</v>
      </c>
      <c r="E272" s="120" t="s">
        <v>208</v>
      </c>
      <c r="F272" s="120" t="s">
        <v>208</v>
      </c>
      <c r="G272" s="180" t="s">
        <v>59</v>
      </c>
      <c r="H272" s="180" t="s">
        <v>27</v>
      </c>
      <c r="I272" s="180" t="s">
        <v>27</v>
      </c>
      <c r="J272" s="180" t="s">
        <v>209</v>
      </c>
      <c r="K272" s="181" t="s">
        <v>5</v>
      </c>
      <c r="L272" s="120" t="s">
        <v>227</v>
      </c>
      <c r="M272" s="180" t="s">
        <v>220</v>
      </c>
      <c r="N272" s="180" t="s">
        <v>220</v>
      </c>
      <c r="O272" s="139" t="s">
        <v>5</v>
      </c>
      <c r="P272" s="139"/>
    </row>
    <row r="273" spans="1:16" x14ac:dyDescent="0.2">
      <c r="A273" s="191"/>
      <c r="B273" s="120">
        <v>0.2</v>
      </c>
      <c r="C273" s="120">
        <v>0.25</v>
      </c>
      <c r="D273" s="120">
        <v>8.5</v>
      </c>
      <c r="E273" s="120">
        <v>0</v>
      </c>
      <c r="F273" s="120">
        <v>0</v>
      </c>
      <c r="G273" s="180">
        <f>0.3*0.6*D273</f>
        <v>1.53</v>
      </c>
      <c r="H273" s="180">
        <f>C273</f>
        <v>0.25</v>
      </c>
      <c r="I273" s="180">
        <f>D273</f>
        <v>8.5</v>
      </c>
      <c r="J273" s="180">
        <f>B273*C273*D273</f>
        <v>0.42500000000000004</v>
      </c>
      <c r="K273" s="181">
        <f>C273*2*D273</f>
        <v>4.25</v>
      </c>
      <c r="L273" s="189">
        <v>2</v>
      </c>
      <c r="M273" s="192">
        <f>C273*K273*3.28*0.668/2000</f>
        <v>1.1639900000000002E-3</v>
      </c>
      <c r="N273" s="192">
        <f>D273*L273*3.28*0.668/2000</f>
        <v>1.8623840000000003E-2</v>
      </c>
      <c r="O273" s="139">
        <f>D273*0.55</f>
        <v>4.6750000000000007</v>
      </c>
      <c r="P273" s="139"/>
    </row>
    <row r="274" spans="1:16" x14ac:dyDescent="0.2">
      <c r="A274" s="191"/>
      <c r="D274" s="193"/>
      <c r="E274" s="193" t="s">
        <v>228</v>
      </c>
      <c r="F274" s="193" t="s">
        <v>228</v>
      </c>
      <c r="G274" s="193">
        <f>G269+G264+G260</f>
        <v>185.72499999999999</v>
      </c>
      <c r="H274" s="193">
        <f>H269+H264+H260</f>
        <v>-158.30000000000001</v>
      </c>
      <c r="I274" s="193">
        <f>I269+I264+I260</f>
        <v>159.80000000000001</v>
      </c>
      <c r="J274" s="193">
        <f>J273+J269+J264+J260</f>
        <v>26.349999999999998</v>
      </c>
      <c r="K274" s="194">
        <f>K273+K269+K264+K260</f>
        <v>153.85</v>
      </c>
      <c r="L274" s="195" t="s">
        <v>229</v>
      </c>
      <c r="M274" s="196" t="e">
        <f>#REF!+M264+#REF!+M269+#REF!+M273+#REF!</f>
        <v>#REF!</v>
      </c>
      <c r="N274" s="196" t="e">
        <f>#REF!+N264+#REF!+N269+#REF!+N273+#REF!</f>
        <v>#REF!</v>
      </c>
      <c r="O274" s="139"/>
      <c r="P274" s="139"/>
    </row>
    <row r="275" spans="1:16" x14ac:dyDescent="0.2">
      <c r="A275" s="179"/>
    </row>
    <row r="276" spans="1:16" x14ac:dyDescent="0.2">
      <c r="A276" s="191" t="s">
        <v>237</v>
      </c>
      <c r="G276" s="180"/>
      <c r="H276" s="180"/>
      <c r="I276" s="180"/>
      <c r="J276" s="180"/>
      <c r="K276" s="181"/>
      <c r="L276" s="197"/>
      <c r="M276" s="192"/>
      <c r="N276" s="192"/>
      <c r="O276" s="139"/>
      <c r="P276" s="141"/>
    </row>
    <row r="277" spans="1:16" x14ac:dyDescent="0.2">
      <c r="A277" s="191" t="s">
        <v>232</v>
      </c>
      <c r="G277" s="180"/>
      <c r="H277" s="180"/>
      <c r="I277" s="180"/>
      <c r="J277" s="180"/>
      <c r="K277" s="181"/>
      <c r="O277" s="139"/>
      <c r="P277" s="139"/>
    </row>
    <row r="278" spans="1:16" x14ac:dyDescent="0.2">
      <c r="A278" s="191"/>
      <c r="B278" s="120" t="s">
        <v>198</v>
      </c>
      <c r="C278" s="120" t="s">
        <v>199</v>
      </c>
      <c r="D278" s="120" t="s">
        <v>200</v>
      </c>
      <c r="E278" s="120" t="s">
        <v>201</v>
      </c>
      <c r="F278" s="120" t="s">
        <v>201</v>
      </c>
      <c r="G278" s="180" t="s">
        <v>104</v>
      </c>
      <c r="H278" s="180" t="s">
        <v>202</v>
      </c>
      <c r="I278" s="180" t="s">
        <v>202</v>
      </c>
      <c r="J278" s="180" t="s">
        <v>203</v>
      </c>
      <c r="K278" s="181" t="s">
        <v>204</v>
      </c>
      <c r="L278" s="120" t="s">
        <v>205</v>
      </c>
      <c r="M278" s="120" t="s">
        <v>205</v>
      </c>
      <c r="N278" s="120" t="s">
        <v>205</v>
      </c>
      <c r="O278" s="139" t="s">
        <v>206</v>
      </c>
      <c r="P278" s="139"/>
    </row>
    <row r="279" spans="1:16" x14ac:dyDescent="0.2">
      <c r="A279" s="191" t="s">
        <v>207</v>
      </c>
      <c r="B279" s="120" t="s">
        <v>208</v>
      </c>
      <c r="C279" s="120" t="s">
        <v>208</v>
      </c>
      <c r="D279" s="120" t="s">
        <v>208</v>
      </c>
      <c r="E279" s="120" t="s">
        <v>208</v>
      </c>
      <c r="F279" s="120" t="s">
        <v>208</v>
      </c>
      <c r="G279" s="180" t="s">
        <v>59</v>
      </c>
      <c r="H279" s="180" t="s">
        <v>59</v>
      </c>
      <c r="I279" s="180" t="s">
        <v>59</v>
      </c>
      <c r="J279" s="180" t="s">
        <v>209</v>
      </c>
      <c r="K279" s="181" t="s">
        <v>5</v>
      </c>
      <c r="L279" s="120" t="s">
        <v>210</v>
      </c>
      <c r="M279" s="120" t="s">
        <v>211</v>
      </c>
      <c r="N279" s="120" t="s">
        <v>211</v>
      </c>
      <c r="O279" s="139"/>
      <c r="P279" s="139"/>
    </row>
    <row r="280" spans="1:16" x14ac:dyDescent="0.2">
      <c r="A280" s="191"/>
      <c r="B280" s="120">
        <v>1.5</v>
      </c>
      <c r="C280" s="120">
        <v>0.3</v>
      </c>
      <c r="D280" s="120">
        <v>13</v>
      </c>
      <c r="E280" s="120">
        <v>1.5</v>
      </c>
      <c r="F280" s="120">
        <v>1.5</v>
      </c>
      <c r="G280" s="180">
        <f>B280*D280*F280</f>
        <v>29.25</v>
      </c>
      <c r="H280" s="180">
        <f>F280-I280</f>
        <v>-21.9</v>
      </c>
      <c r="I280" s="180">
        <f>G280-J280</f>
        <v>23.4</v>
      </c>
      <c r="J280" s="180">
        <f>B280*C280*D280</f>
        <v>5.85</v>
      </c>
      <c r="K280" s="181">
        <f>C280*2*D280</f>
        <v>7.8</v>
      </c>
      <c r="L280" s="189">
        <f>D280/0.4+1</f>
        <v>33.5</v>
      </c>
      <c r="M280" s="189">
        <f>A280/0.3+1</f>
        <v>1</v>
      </c>
      <c r="N280" s="189">
        <f>B280/0.3+1</f>
        <v>6</v>
      </c>
      <c r="O280" s="139"/>
      <c r="P280" s="139"/>
    </row>
    <row r="281" spans="1:16" x14ac:dyDescent="0.2">
      <c r="A281" s="191"/>
      <c r="B281" s="120">
        <v>0.25</v>
      </c>
      <c r="C281" s="120">
        <v>0.2</v>
      </c>
      <c r="D281" s="120">
        <v>13</v>
      </c>
      <c r="G281" s="180">
        <f>B281*C281*D281</f>
        <v>0.65</v>
      </c>
      <c r="H281" s="180"/>
      <c r="I281" s="180"/>
      <c r="J281" s="180">
        <f>B281*C281*D281</f>
        <v>0.65</v>
      </c>
      <c r="K281" s="181"/>
      <c r="O281" s="139"/>
      <c r="P281" s="139"/>
    </row>
    <row r="282" spans="1:16" x14ac:dyDescent="0.2">
      <c r="A282" s="191"/>
      <c r="G282" s="180">
        <f>SUM(G280:G281)</f>
        <v>29.9</v>
      </c>
      <c r="H282" s="180">
        <f>SUM(H280:H281)</f>
        <v>-21.9</v>
      </c>
      <c r="I282" s="180">
        <f>SUM(I280:I281)</f>
        <v>23.4</v>
      </c>
      <c r="J282" s="180">
        <f>SUM(J280:J281)</f>
        <v>6.5</v>
      </c>
      <c r="K282" s="181">
        <f>SUM(K280:K281)</f>
        <v>7.8</v>
      </c>
      <c r="O282" s="139"/>
      <c r="P282" s="139"/>
    </row>
    <row r="283" spans="1:16" x14ac:dyDescent="0.2">
      <c r="A283" s="191"/>
      <c r="G283" s="180"/>
      <c r="H283" s="180"/>
      <c r="I283" s="180"/>
      <c r="J283" s="180"/>
      <c r="K283" s="181"/>
      <c r="O283" s="139" t="s">
        <v>213</v>
      </c>
      <c r="P283" s="139"/>
    </row>
    <row r="284" spans="1:16" x14ac:dyDescent="0.2">
      <c r="A284" s="191" t="s">
        <v>214</v>
      </c>
      <c r="B284" s="120" t="s">
        <v>198</v>
      </c>
      <c r="C284" s="120" t="s">
        <v>199</v>
      </c>
      <c r="D284" s="120" t="s">
        <v>200</v>
      </c>
      <c r="E284" s="120" t="s">
        <v>201</v>
      </c>
      <c r="F284" s="120" t="s">
        <v>201</v>
      </c>
      <c r="G284" s="180" t="s">
        <v>104</v>
      </c>
      <c r="H284" s="180" t="s">
        <v>202</v>
      </c>
      <c r="I284" s="180" t="s">
        <v>202</v>
      </c>
      <c r="J284" s="180" t="s">
        <v>203</v>
      </c>
      <c r="K284" s="181" t="s">
        <v>204</v>
      </c>
      <c r="L284" s="120" t="s">
        <v>205</v>
      </c>
      <c r="M284" s="180" t="s">
        <v>215</v>
      </c>
      <c r="N284" s="180" t="s">
        <v>215</v>
      </c>
      <c r="O284" s="139" t="s">
        <v>217</v>
      </c>
      <c r="P284" s="139" t="s">
        <v>218</v>
      </c>
    </row>
    <row r="285" spans="1:16" x14ac:dyDescent="0.2">
      <c r="A285" s="191"/>
      <c r="B285" s="120" t="s">
        <v>208</v>
      </c>
      <c r="C285" s="120" t="s">
        <v>208</v>
      </c>
      <c r="D285" s="120" t="s">
        <v>208</v>
      </c>
      <c r="E285" s="120" t="s">
        <v>208</v>
      </c>
      <c r="F285" s="120" t="s">
        <v>208</v>
      </c>
      <c r="G285" s="180" t="s">
        <v>59</v>
      </c>
      <c r="H285" s="180" t="s">
        <v>59</v>
      </c>
      <c r="I285" s="180" t="s">
        <v>59</v>
      </c>
      <c r="J285" s="180" t="s">
        <v>209</v>
      </c>
      <c r="K285" s="181" t="s">
        <v>5</v>
      </c>
      <c r="L285" s="120" t="s">
        <v>219</v>
      </c>
      <c r="M285" s="180" t="s">
        <v>220</v>
      </c>
      <c r="N285" s="180" t="s">
        <v>220</v>
      </c>
      <c r="O285" s="139" t="s">
        <v>5</v>
      </c>
      <c r="P285" s="139" t="s">
        <v>221</v>
      </c>
    </row>
    <row r="286" spans="1:16" x14ac:dyDescent="0.2">
      <c r="A286" s="191"/>
      <c r="B286" s="120">
        <v>0.3</v>
      </c>
      <c r="C286" s="120">
        <v>6</v>
      </c>
      <c r="D286" s="120">
        <v>13</v>
      </c>
      <c r="G286" s="180">
        <f>(B286+2)*C286*D286</f>
        <v>179.39999999999998</v>
      </c>
      <c r="H286" s="180">
        <f>F286-I286</f>
        <v>-155.99999999999997</v>
      </c>
      <c r="I286" s="180">
        <f>G286-J286</f>
        <v>155.99999999999997</v>
      </c>
      <c r="J286" s="180">
        <f>B286*C286*D286</f>
        <v>23.4</v>
      </c>
      <c r="K286" s="181">
        <f>C286*2*D286</f>
        <v>156</v>
      </c>
      <c r="L286" s="189">
        <f>D286/0.2+1</f>
        <v>66</v>
      </c>
      <c r="M286" s="190">
        <f>(B286+0.7)*K286*3.28*0.668/2000</f>
        <v>0.17090111999999999</v>
      </c>
      <c r="N286" s="190">
        <f>(C286+0.7)*L286*3.28*0.668/2000</f>
        <v>0.48443894399999998</v>
      </c>
      <c r="O286" s="139" t="e">
        <f>#REF!</f>
        <v>#REF!</v>
      </c>
      <c r="P286" s="139">
        <v>2</v>
      </c>
    </row>
    <row r="287" spans="1:16" x14ac:dyDescent="0.2">
      <c r="A287" s="191"/>
      <c r="G287" s="180"/>
      <c r="H287" s="180"/>
      <c r="I287" s="180"/>
      <c r="J287" s="180"/>
      <c r="K287" s="181"/>
      <c r="L287" s="189"/>
      <c r="M287" s="190"/>
      <c r="N287" s="190"/>
      <c r="O287" s="139"/>
      <c r="P287" s="139"/>
    </row>
    <row r="288" spans="1:16" x14ac:dyDescent="0.2">
      <c r="A288" s="191"/>
      <c r="G288" s="180"/>
      <c r="H288" s="180"/>
      <c r="I288" s="180"/>
      <c r="J288" s="180"/>
      <c r="K288" s="181"/>
      <c r="O288" s="139" t="s">
        <v>213</v>
      </c>
      <c r="P288" s="139"/>
    </row>
    <row r="289" spans="1:16" x14ac:dyDescent="0.2">
      <c r="A289" s="191" t="s">
        <v>214</v>
      </c>
      <c r="B289" s="120" t="s">
        <v>198</v>
      </c>
      <c r="C289" s="120" t="s">
        <v>199</v>
      </c>
      <c r="D289" s="120" t="s">
        <v>200</v>
      </c>
      <c r="E289" s="120" t="s">
        <v>201</v>
      </c>
      <c r="F289" s="120" t="s">
        <v>201</v>
      </c>
      <c r="G289" s="180" t="s">
        <v>104</v>
      </c>
      <c r="H289" s="180" t="s">
        <v>202</v>
      </c>
      <c r="I289" s="180" t="s">
        <v>202</v>
      </c>
      <c r="J289" s="180" t="s">
        <v>203</v>
      </c>
      <c r="K289" s="181" t="s">
        <v>204</v>
      </c>
      <c r="L289" s="120" t="s">
        <v>205</v>
      </c>
      <c r="M289" s="180" t="s">
        <v>215</v>
      </c>
      <c r="N289" s="180" t="s">
        <v>215</v>
      </c>
      <c r="O289" s="139" t="s">
        <v>217</v>
      </c>
      <c r="P289" s="139" t="s">
        <v>218</v>
      </c>
    </row>
    <row r="290" spans="1:16" x14ac:dyDescent="0.2">
      <c r="A290" s="191"/>
      <c r="B290" s="120" t="s">
        <v>208</v>
      </c>
      <c r="C290" s="120" t="s">
        <v>208</v>
      </c>
      <c r="D290" s="120" t="s">
        <v>208</v>
      </c>
      <c r="E290" s="120" t="s">
        <v>208</v>
      </c>
      <c r="F290" s="120" t="s">
        <v>208</v>
      </c>
      <c r="G290" s="180" t="s">
        <v>59</v>
      </c>
      <c r="H290" s="180" t="s">
        <v>59</v>
      </c>
      <c r="I290" s="180" t="s">
        <v>59</v>
      </c>
      <c r="J290" s="180" t="s">
        <v>209</v>
      </c>
      <c r="K290" s="181" t="s">
        <v>5</v>
      </c>
      <c r="L290" s="120" t="s">
        <v>219</v>
      </c>
      <c r="M290" s="180" t="s">
        <v>220</v>
      </c>
      <c r="N290" s="180" t="s">
        <v>220</v>
      </c>
      <c r="O290" s="139" t="s">
        <v>5</v>
      </c>
      <c r="P290" s="139" t="s">
        <v>221</v>
      </c>
    </row>
    <row r="291" spans="1:16" x14ac:dyDescent="0.2">
      <c r="A291" s="191"/>
      <c r="B291" s="120">
        <v>0.3</v>
      </c>
      <c r="C291" s="120">
        <v>2.5</v>
      </c>
      <c r="D291" s="120">
        <v>13</v>
      </c>
      <c r="G291" s="180">
        <f>(B291+2)*C291*D291</f>
        <v>74.75</v>
      </c>
      <c r="H291" s="180">
        <f>F291-I291</f>
        <v>-65</v>
      </c>
      <c r="I291" s="180">
        <f>G291-J291</f>
        <v>65</v>
      </c>
      <c r="J291" s="180">
        <f>B291*C291*D291</f>
        <v>9.75</v>
      </c>
      <c r="K291" s="181">
        <f>C291*2*D291</f>
        <v>65</v>
      </c>
      <c r="L291" s="189">
        <f>D291/0.2+1</f>
        <v>66</v>
      </c>
      <c r="M291" s="190">
        <f>(B291+0.7)*K291*3.28*0.668/2000</f>
        <v>7.1208800000000003E-2</v>
      </c>
      <c r="N291" s="190">
        <f>(C291+0.7)*L291*3.28*0.668/2000</f>
        <v>0.23137382400000001</v>
      </c>
      <c r="O291" s="139" t="e">
        <f>#REF!</f>
        <v>#REF!</v>
      </c>
      <c r="P291" s="139">
        <v>2</v>
      </c>
    </row>
    <row r="292" spans="1:16" x14ac:dyDescent="0.2">
      <c r="A292" s="191"/>
      <c r="G292" s="180"/>
      <c r="H292" s="180"/>
      <c r="I292" s="180"/>
      <c r="J292" s="180"/>
      <c r="K292" s="181"/>
      <c r="L292" s="189"/>
      <c r="M292" s="190"/>
      <c r="N292" s="190"/>
      <c r="O292" s="139"/>
      <c r="P292" s="139"/>
    </row>
    <row r="293" spans="1:16" x14ac:dyDescent="0.2">
      <c r="A293" s="191" t="s">
        <v>222</v>
      </c>
      <c r="B293" s="120" t="s">
        <v>198</v>
      </c>
      <c r="C293" s="120" t="s">
        <v>199</v>
      </c>
      <c r="D293" s="120" t="s">
        <v>200</v>
      </c>
      <c r="E293" s="120" t="s">
        <v>201</v>
      </c>
      <c r="F293" s="120" t="s">
        <v>201</v>
      </c>
      <c r="G293" s="180" t="s">
        <v>223</v>
      </c>
      <c r="H293" s="180" t="s">
        <v>224</v>
      </c>
      <c r="I293" s="180" t="s">
        <v>224</v>
      </c>
      <c r="J293" s="180" t="s">
        <v>203</v>
      </c>
      <c r="K293" s="181" t="s">
        <v>204</v>
      </c>
      <c r="L293" s="120" t="s">
        <v>205</v>
      </c>
      <c r="M293" s="180" t="s">
        <v>215</v>
      </c>
      <c r="N293" s="180" t="s">
        <v>215</v>
      </c>
      <c r="O293" s="139" t="s">
        <v>226</v>
      </c>
      <c r="P293" s="139"/>
    </row>
    <row r="294" spans="1:16" x14ac:dyDescent="0.2">
      <c r="A294" s="111"/>
      <c r="B294" s="120" t="s">
        <v>208</v>
      </c>
      <c r="C294" s="120" t="s">
        <v>208</v>
      </c>
      <c r="D294" s="120">
        <v>13</v>
      </c>
      <c r="E294" s="120" t="s">
        <v>208</v>
      </c>
      <c r="F294" s="120" t="s">
        <v>208</v>
      </c>
      <c r="G294" s="180" t="s">
        <v>59</v>
      </c>
      <c r="H294" s="180" t="s">
        <v>27</v>
      </c>
      <c r="I294" s="180" t="s">
        <v>27</v>
      </c>
      <c r="J294" s="180" t="s">
        <v>209</v>
      </c>
      <c r="K294" s="181" t="s">
        <v>5</v>
      </c>
      <c r="L294" s="120" t="s">
        <v>227</v>
      </c>
      <c r="M294" s="180" t="s">
        <v>220</v>
      </c>
      <c r="N294" s="180" t="s">
        <v>220</v>
      </c>
      <c r="O294" s="139" t="s">
        <v>5</v>
      </c>
      <c r="P294" s="139"/>
    </row>
    <row r="295" spans="1:16" x14ac:dyDescent="0.2">
      <c r="A295" s="111"/>
      <c r="B295" s="120">
        <v>0.2</v>
      </c>
      <c r="C295" s="120">
        <v>0.25</v>
      </c>
      <c r="D295" s="120">
        <v>13</v>
      </c>
      <c r="E295" s="120">
        <v>0</v>
      </c>
      <c r="F295" s="120">
        <v>0</v>
      </c>
      <c r="G295" s="180">
        <f>0.3*0.6*D295</f>
        <v>2.34</v>
      </c>
      <c r="H295" s="180">
        <f>C295</f>
        <v>0.25</v>
      </c>
      <c r="I295" s="180">
        <f>D295</f>
        <v>13</v>
      </c>
      <c r="J295" s="180">
        <f>B295*C295*D295</f>
        <v>0.65</v>
      </c>
      <c r="K295" s="181">
        <f>C295*2*D295</f>
        <v>6.5</v>
      </c>
      <c r="L295" s="189">
        <v>2</v>
      </c>
      <c r="M295" s="192">
        <f>C295*K295*3.28*0.668/2000</f>
        <v>1.7802200000000001E-3</v>
      </c>
      <c r="N295" s="192">
        <f>D295*L295*3.28*0.668/2000</f>
        <v>2.8483520000000002E-2</v>
      </c>
      <c r="O295" s="139">
        <f>D295*0.55</f>
        <v>7.15</v>
      </c>
      <c r="P295" s="139"/>
    </row>
    <row r="296" spans="1:16" x14ac:dyDescent="0.2">
      <c r="A296" s="191"/>
      <c r="D296" s="193"/>
      <c r="E296" s="193" t="s">
        <v>228</v>
      </c>
      <c r="F296" s="193" t="s">
        <v>228</v>
      </c>
      <c r="G296" s="193">
        <f>G291+G286+G282</f>
        <v>284.04999999999995</v>
      </c>
      <c r="H296" s="193">
        <f>H291+H286+H282</f>
        <v>-242.89999999999998</v>
      </c>
      <c r="I296" s="193">
        <f>I291+I286+I282</f>
        <v>244.39999999999998</v>
      </c>
      <c r="J296" s="193">
        <f>J295+J291+J286+J282</f>
        <v>40.299999999999997</v>
      </c>
      <c r="K296" s="194">
        <f>K295+K291+K286+K282</f>
        <v>235.3</v>
      </c>
      <c r="L296" s="195" t="s">
        <v>229</v>
      </c>
      <c r="M296" s="196" t="e">
        <f>#REF!+M286+#REF!+M291+#REF!+M295+#REF!</f>
        <v>#REF!</v>
      </c>
      <c r="N296" s="196" t="e">
        <f>#REF!+N286+#REF!+N291+#REF!+N295+#REF!</f>
        <v>#REF!</v>
      </c>
      <c r="O296" s="139"/>
      <c r="P296" s="139"/>
    </row>
    <row r="297" spans="1:16" x14ac:dyDescent="0.2">
      <c r="A297" s="179"/>
    </row>
    <row r="298" spans="1:16" x14ac:dyDescent="0.2">
      <c r="A298" s="191" t="s">
        <v>237</v>
      </c>
      <c r="G298" s="180"/>
      <c r="H298" s="180"/>
      <c r="I298" s="180"/>
      <c r="J298" s="180"/>
      <c r="K298" s="181"/>
      <c r="L298" s="197"/>
      <c r="M298" s="192"/>
      <c r="N298" s="192"/>
      <c r="O298" s="139"/>
      <c r="P298" s="141"/>
    </row>
    <row r="299" spans="1:16" x14ac:dyDescent="0.2">
      <c r="A299" s="191" t="s">
        <v>232</v>
      </c>
      <c r="G299" s="180"/>
      <c r="H299" s="180"/>
      <c r="I299" s="180"/>
      <c r="J299" s="180"/>
      <c r="K299" s="181"/>
      <c r="O299" s="139"/>
      <c r="P299" s="139"/>
    </row>
    <row r="300" spans="1:16" x14ac:dyDescent="0.2">
      <c r="A300" s="191"/>
      <c r="B300" s="120" t="s">
        <v>198</v>
      </c>
      <c r="C300" s="120" t="s">
        <v>199</v>
      </c>
      <c r="D300" s="120" t="s">
        <v>200</v>
      </c>
      <c r="E300" s="120" t="s">
        <v>201</v>
      </c>
      <c r="F300" s="120" t="s">
        <v>201</v>
      </c>
      <c r="G300" s="180" t="s">
        <v>104</v>
      </c>
      <c r="H300" s="180" t="s">
        <v>202</v>
      </c>
      <c r="I300" s="180" t="s">
        <v>202</v>
      </c>
      <c r="J300" s="180" t="s">
        <v>203</v>
      </c>
      <c r="K300" s="181" t="s">
        <v>204</v>
      </c>
      <c r="L300" s="120" t="s">
        <v>205</v>
      </c>
      <c r="M300" s="120" t="s">
        <v>205</v>
      </c>
      <c r="N300" s="120" t="s">
        <v>205</v>
      </c>
      <c r="O300" s="139" t="s">
        <v>206</v>
      </c>
      <c r="P300" s="139"/>
    </row>
    <row r="301" spans="1:16" x14ac:dyDescent="0.2">
      <c r="A301" s="191" t="s">
        <v>207</v>
      </c>
      <c r="B301" s="120" t="s">
        <v>208</v>
      </c>
      <c r="C301" s="120" t="s">
        <v>208</v>
      </c>
      <c r="D301" s="120" t="s">
        <v>208</v>
      </c>
      <c r="E301" s="120" t="s">
        <v>208</v>
      </c>
      <c r="F301" s="120" t="s">
        <v>208</v>
      </c>
      <c r="G301" s="180" t="s">
        <v>59</v>
      </c>
      <c r="H301" s="180" t="s">
        <v>59</v>
      </c>
      <c r="I301" s="180" t="s">
        <v>59</v>
      </c>
      <c r="J301" s="180" t="s">
        <v>209</v>
      </c>
      <c r="K301" s="181" t="s">
        <v>5</v>
      </c>
      <c r="L301" s="120" t="s">
        <v>210</v>
      </c>
      <c r="M301" s="120" t="s">
        <v>211</v>
      </c>
      <c r="N301" s="120" t="s">
        <v>211</v>
      </c>
      <c r="O301" s="139"/>
      <c r="P301" s="139"/>
    </row>
    <row r="302" spans="1:16" x14ac:dyDescent="0.2">
      <c r="A302" s="191"/>
      <c r="B302" s="120">
        <v>1.5</v>
      </c>
      <c r="C302" s="120">
        <v>0.3</v>
      </c>
      <c r="D302" s="120">
        <v>7</v>
      </c>
      <c r="E302" s="120">
        <v>1.5</v>
      </c>
      <c r="F302" s="120">
        <v>1.5</v>
      </c>
      <c r="G302" s="180">
        <f>B302*D302*F302</f>
        <v>15.75</v>
      </c>
      <c r="H302" s="180">
        <f>F302-I302</f>
        <v>-11.100000000000001</v>
      </c>
      <c r="I302" s="180">
        <f>G302-J302</f>
        <v>12.600000000000001</v>
      </c>
      <c r="J302" s="180">
        <f>B302*C302*D302</f>
        <v>3.1499999999999995</v>
      </c>
      <c r="K302" s="181">
        <f>C302*2*D302</f>
        <v>4.2</v>
      </c>
      <c r="L302" s="189">
        <f>D302/0.4+1</f>
        <v>18.5</v>
      </c>
      <c r="M302" s="189">
        <f>A302/0.3+1</f>
        <v>1</v>
      </c>
      <c r="N302" s="189">
        <f>B302/0.3+1</f>
        <v>6</v>
      </c>
      <c r="O302" s="139"/>
      <c r="P302" s="139"/>
    </row>
    <row r="303" spans="1:16" x14ac:dyDescent="0.2">
      <c r="A303" s="191"/>
      <c r="B303" s="120">
        <v>0.25</v>
      </c>
      <c r="C303" s="120">
        <v>0.2</v>
      </c>
      <c r="D303" s="120">
        <v>7</v>
      </c>
      <c r="G303" s="180">
        <f>B303*C303*D303</f>
        <v>0.35000000000000003</v>
      </c>
      <c r="H303" s="180"/>
      <c r="I303" s="180"/>
      <c r="J303" s="180">
        <f>B303*C303*D303</f>
        <v>0.35000000000000003</v>
      </c>
      <c r="K303" s="181"/>
      <c r="O303" s="139"/>
      <c r="P303" s="139"/>
    </row>
    <row r="304" spans="1:16" x14ac:dyDescent="0.2">
      <c r="A304" s="191"/>
      <c r="G304" s="180">
        <f>SUM(G302:G303)</f>
        <v>16.100000000000001</v>
      </c>
      <c r="H304" s="180">
        <f>SUM(H302:H303)</f>
        <v>-11.100000000000001</v>
      </c>
      <c r="I304" s="180">
        <f>SUM(I302:I303)</f>
        <v>12.600000000000001</v>
      </c>
      <c r="J304" s="180">
        <f>SUM(J302:J303)</f>
        <v>3.4999999999999996</v>
      </c>
      <c r="K304" s="181">
        <f>SUM(K302:K303)</f>
        <v>4.2</v>
      </c>
      <c r="O304" s="139"/>
      <c r="P304" s="139"/>
    </row>
    <row r="305" spans="1:16" x14ac:dyDescent="0.2">
      <c r="A305" s="191"/>
      <c r="G305" s="180"/>
      <c r="H305" s="180"/>
      <c r="I305" s="180"/>
      <c r="J305" s="180"/>
      <c r="K305" s="181"/>
      <c r="O305" s="139" t="s">
        <v>213</v>
      </c>
      <c r="P305" s="139"/>
    </row>
    <row r="306" spans="1:16" x14ac:dyDescent="0.2">
      <c r="A306" s="191" t="s">
        <v>214</v>
      </c>
      <c r="B306" s="120" t="s">
        <v>198</v>
      </c>
      <c r="C306" s="120" t="s">
        <v>199</v>
      </c>
      <c r="D306" s="120" t="s">
        <v>200</v>
      </c>
      <c r="E306" s="120" t="s">
        <v>201</v>
      </c>
      <c r="F306" s="120" t="s">
        <v>201</v>
      </c>
      <c r="G306" s="180" t="s">
        <v>104</v>
      </c>
      <c r="H306" s="180" t="s">
        <v>202</v>
      </c>
      <c r="I306" s="180" t="s">
        <v>202</v>
      </c>
      <c r="J306" s="180" t="s">
        <v>203</v>
      </c>
      <c r="K306" s="181" t="s">
        <v>204</v>
      </c>
      <c r="L306" s="120" t="s">
        <v>205</v>
      </c>
      <c r="M306" s="180" t="s">
        <v>215</v>
      </c>
      <c r="N306" s="180" t="s">
        <v>215</v>
      </c>
      <c r="O306" s="139" t="s">
        <v>217</v>
      </c>
      <c r="P306" s="139" t="s">
        <v>218</v>
      </c>
    </row>
    <row r="307" spans="1:16" x14ac:dyDescent="0.2">
      <c r="A307" s="191"/>
      <c r="B307" s="120" t="s">
        <v>208</v>
      </c>
      <c r="C307" s="120" t="s">
        <v>208</v>
      </c>
      <c r="D307" s="120" t="s">
        <v>208</v>
      </c>
      <c r="E307" s="120" t="s">
        <v>208</v>
      </c>
      <c r="F307" s="120" t="s">
        <v>208</v>
      </c>
      <c r="G307" s="180" t="s">
        <v>59</v>
      </c>
      <c r="H307" s="180" t="s">
        <v>59</v>
      </c>
      <c r="I307" s="180" t="s">
        <v>59</v>
      </c>
      <c r="J307" s="180" t="s">
        <v>209</v>
      </c>
      <c r="K307" s="181" t="s">
        <v>5</v>
      </c>
      <c r="L307" s="120" t="s">
        <v>219</v>
      </c>
      <c r="M307" s="180" t="s">
        <v>220</v>
      </c>
      <c r="N307" s="180" t="s">
        <v>220</v>
      </c>
      <c r="O307" s="139" t="s">
        <v>5</v>
      </c>
      <c r="P307" s="139" t="s">
        <v>221</v>
      </c>
    </row>
    <row r="308" spans="1:16" x14ac:dyDescent="0.2">
      <c r="A308" s="191"/>
      <c r="B308" s="120">
        <v>0.3</v>
      </c>
      <c r="C308" s="120">
        <v>6</v>
      </c>
      <c r="D308" s="120">
        <v>7</v>
      </c>
      <c r="G308" s="180">
        <f>(B308+2)*C308*D308</f>
        <v>96.6</v>
      </c>
      <c r="H308" s="180">
        <f>F308-I308</f>
        <v>-84</v>
      </c>
      <c r="I308" s="180">
        <f>G308-J308</f>
        <v>84</v>
      </c>
      <c r="J308" s="180">
        <f>B308*C308*D308</f>
        <v>12.599999999999998</v>
      </c>
      <c r="K308" s="181">
        <f>C308*2*D308</f>
        <v>84</v>
      </c>
      <c r="L308" s="189">
        <f>D308/0.2+1</f>
        <v>36</v>
      </c>
      <c r="M308" s="190">
        <f>(B308+0.7)*K308*3.28*0.668/2000</f>
        <v>9.2023679999999997E-2</v>
      </c>
      <c r="N308" s="190">
        <f>(C308+0.7)*L308*3.28*0.668/2000</f>
        <v>0.264239424</v>
      </c>
      <c r="O308" s="139" t="e">
        <f>#REF!</f>
        <v>#REF!</v>
      </c>
      <c r="P308" s="139">
        <v>2</v>
      </c>
    </row>
    <row r="309" spans="1:16" x14ac:dyDescent="0.2">
      <c r="A309" s="191"/>
      <c r="G309" s="180"/>
      <c r="H309" s="180"/>
      <c r="I309" s="180"/>
      <c r="J309" s="180"/>
      <c r="K309" s="181"/>
      <c r="L309" s="189"/>
      <c r="M309" s="190"/>
      <c r="N309" s="190"/>
      <c r="O309" s="139"/>
      <c r="P309" s="139"/>
    </row>
    <row r="310" spans="1:16" x14ac:dyDescent="0.2">
      <c r="A310" s="191"/>
      <c r="G310" s="180"/>
      <c r="H310" s="180"/>
      <c r="I310" s="180"/>
      <c r="J310" s="180"/>
      <c r="K310" s="181"/>
      <c r="O310" s="139" t="s">
        <v>213</v>
      </c>
      <c r="P310" s="139"/>
    </row>
    <row r="311" spans="1:16" x14ac:dyDescent="0.2">
      <c r="A311" s="191" t="s">
        <v>214</v>
      </c>
      <c r="B311" s="120" t="s">
        <v>198</v>
      </c>
      <c r="C311" s="120" t="s">
        <v>199</v>
      </c>
      <c r="D311" s="120" t="s">
        <v>200</v>
      </c>
      <c r="E311" s="120" t="s">
        <v>201</v>
      </c>
      <c r="F311" s="120" t="s">
        <v>201</v>
      </c>
      <c r="G311" s="180" t="s">
        <v>104</v>
      </c>
      <c r="H311" s="180" t="s">
        <v>202</v>
      </c>
      <c r="I311" s="180" t="s">
        <v>202</v>
      </c>
      <c r="J311" s="180" t="s">
        <v>203</v>
      </c>
      <c r="K311" s="181" t="s">
        <v>204</v>
      </c>
      <c r="L311" s="120" t="s">
        <v>205</v>
      </c>
      <c r="M311" s="180" t="s">
        <v>215</v>
      </c>
      <c r="N311" s="180" t="s">
        <v>215</v>
      </c>
      <c r="O311" s="139" t="s">
        <v>217</v>
      </c>
      <c r="P311" s="139" t="s">
        <v>218</v>
      </c>
    </row>
    <row r="312" spans="1:16" x14ac:dyDescent="0.2">
      <c r="A312" s="191"/>
      <c r="B312" s="120" t="s">
        <v>208</v>
      </c>
      <c r="C312" s="120" t="s">
        <v>208</v>
      </c>
      <c r="D312" s="120" t="s">
        <v>208</v>
      </c>
      <c r="E312" s="120" t="s">
        <v>208</v>
      </c>
      <c r="F312" s="120" t="s">
        <v>208</v>
      </c>
      <c r="G312" s="180" t="s">
        <v>59</v>
      </c>
      <c r="H312" s="180" t="s">
        <v>59</v>
      </c>
      <c r="I312" s="180" t="s">
        <v>59</v>
      </c>
      <c r="J312" s="180" t="s">
        <v>209</v>
      </c>
      <c r="K312" s="181" t="s">
        <v>5</v>
      </c>
      <c r="L312" s="120" t="s">
        <v>219</v>
      </c>
      <c r="M312" s="180" t="s">
        <v>220</v>
      </c>
      <c r="N312" s="180" t="s">
        <v>220</v>
      </c>
      <c r="O312" s="139" t="s">
        <v>5</v>
      </c>
      <c r="P312" s="139" t="s">
        <v>221</v>
      </c>
    </row>
    <row r="313" spans="1:16" x14ac:dyDescent="0.2">
      <c r="A313" s="191"/>
      <c r="B313" s="120">
        <v>0.3</v>
      </c>
      <c r="C313" s="120">
        <v>1.27</v>
      </c>
      <c r="D313" s="120">
        <v>7</v>
      </c>
      <c r="G313" s="180">
        <f>(B313+2)*C313*D313</f>
        <v>20.446999999999999</v>
      </c>
      <c r="H313" s="180">
        <f>F313-I313</f>
        <v>-17.78</v>
      </c>
      <c r="I313" s="180">
        <f>G313-J313</f>
        <v>17.78</v>
      </c>
      <c r="J313" s="180">
        <f>B313*C313*D313</f>
        <v>2.6669999999999998</v>
      </c>
      <c r="K313" s="181">
        <f>C313*2*D313</f>
        <v>17.78</v>
      </c>
      <c r="L313" s="189">
        <f>D313/0.2+1</f>
        <v>36</v>
      </c>
      <c r="M313" s="190">
        <f>(B313+0.7)*K313*3.28*0.668/2000</f>
        <v>1.9478345600000002E-2</v>
      </c>
      <c r="N313" s="190">
        <f>(C313+0.7)*L313*3.28*0.668/2000</f>
        <v>7.7694278399999997E-2</v>
      </c>
      <c r="O313" s="139" t="e">
        <f>#REF!</f>
        <v>#REF!</v>
      </c>
      <c r="P313" s="139">
        <v>2</v>
      </c>
    </row>
    <row r="314" spans="1:16" x14ac:dyDescent="0.2">
      <c r="A314" s="191"/>
      <c r="G314" s="180"/>
      <c r="H314" s="180"/>
      <c r="I314" s="180"/>
      <c r="J314" s="180"/>
      <c r="K314" s="181"/>
      <c r="L314" s="189"/>
      <c r="M314" s="190"/>
      <c r="N314" s="190"/>
      <c r="O314" s="139"/>
      <c r="P314" s="139"/>
    </row>
    <row r="315" spans="1:16" x14ac:dyDescent="0.2">
      <c r="A315" s="191" t="s">
        <v>222</v>
      </c>
      <c r="B315" s="120" t="s">
        <v>198</v>
      </c>
      <c r="C315" s="120" t="s">
        <v>199</v>
      </c>
      <c r="D315" s="120" t="s">
        <v>200</v>
      </c>
      <c r="E315" s="120" t="s">
        <v>201</v>
      </c>
      <c r="F315" s="120" t="s">
        <v>201</v>
      </c>
      <c r="G315" s="180" t="s">
        <v>223</v>
      </c>
      <c r="H315" s="180" t="s">
        <v>224</v>
      </c>
      <c r="I315" s="180" t="s">
        <v>224</v>
      </c>
      <c r="J315" s="180" t="s">
        <v>203</v>
      </c>
      <c r="K315" s="181" t="s">
        <v>204</v>
      </c>
      <c r="L315" s="120" t="s">
        <v>205</v>
      </c>
      <c r="M315" s="180" t="s">
        <v>215</v>
      </c>
      <c r="N315" s="180" t="s">
        <v>215</v>
      </c>
      <c r="O315" s="139" t="s">
        <v>226</v>
      </c>
      <c r="P315" s="139"/>
    </row>
    <row r="316" spans="1:16" x14ac:dyDescent="0.2">
      <c r="A316" s="191"/>
      <c r="B316" s="120" t="s">
        <v>208</v>
      </c>
      <c r="C316" s="120" t="s">
        <v>208</v>
      </c>
      <c r="D316" s="120">
        <v>7</v>
      </c>
      <c r="E316" s="120" t="s">
        <v>208</v>
      </c>
      <c r="F316" s="120" t="s">
        <v>208</v>
      </c>
      <c r="G316" s="180" t="s">
        <v>59</v>
      </c>
      <c r="H316" s="180" t="s">
        <v>27</v>
      </c>
      <c r="I316" s="180" t="s">
        <v>27</v>
      </c>
      <c r="J316" s="180" t="s">
        <v>209</v>
      </c>
      <c r="K316" s="181" t="s">
        <v>5</v>
      </c>
      <c r="L316" s="120" t="s">
        <v>227</v>
      </c>
      <c r="M316" s="180" t="s">
        <v>220</v>
      </c>
      <c r="N316" s="180" t="s">
        <v>220</v>
      </c>
      <c r="O316" s="139" t="s">
        <v>5</v>
      </c>
      <c r="P316" s="139"/>
    </row>
    <row r="317" spans="1:16" x14ac:dyDescent="0.2">
      <c r="A317" s="191"/>
      <c r="B317" s="120">
        <v>0.2</v>
      </c>
      <c r="C317" s="120">
        <v>0.25</v>
      </c>
      <c r="D317" s="120">
        <v>7</v>
      </c>
      <c r="E317" s="120">
        <v>0</v>
      </c>
      <c r="F317" s="120">
        <v>0</v>
      </c>
      <c r="G317" s="180">
        <f>0.3*0.6*D317</f>
        <v>1.26</v>
      </c>
      <c r="H317" s="180">
        <f>C317</f>
        <v>0.25</v>
      </c>
      <c r="I317" s="180">
        <f>D317</f>
        <v>7</v>
      </c>
      <c r="J317" s="180">
        <f>B317*C317*D317</f>
        <v>0.35000000000000003</v>
      </c>
      <c r="K317" s="181">
        <f>C317*2*D317</f>
        <v>3.5</v>
      </c>
      <c r="L317" s="189">
        <v>2</v>
      </c>
      <c r="M317" s="192">
        <f>C317*K317*3.28*0.668/2000</f>
        <v>9.5858E-4</v>
      </c>
      <c r="N317" s="192">
        <f>D317*L317*3.28*0.668/2000</f>
        <v>1.533728E-2</v>
      </c>
      <c r="O317" s="139">
        <f>D317*0.55</f>
        <v>3.8500000000000005</v>
      </c>
      <c r="P317" s="139"/>
    </row>
    <row r="318" spans="1:16" x14ac:dyDescent="0.2">
      <c r="A318" s="191"/>
      <c r="D318" s="193"/>
      <c r="E318" s="193" t="s">
        <v>228</v>
      </c>
      <c r="F318" s="193" t="s">
        <v>228</v>
      </c>
      <c r="G318" s="193">
        <f>G313+G308+G304</f>
        <v>133.14699999999999</v>
      </c>
      <c r="H318" s="193">
        <f>H313+H308+H304</f>
        <v>-112.88</v>
      </c>
      <c r="I318" s="193">
        <f>I313+I308+I304</f>
        <v>114.38</v>
      </c>
      <c r="J318" s="193">
        <f>J317+J313+J308+J304</f>
        <v>19.116999999999997</v>
      </c>
      <c r="K318" s="194">
        <f>K317+K313+K308+K304</f>
        <v>109.48</v>
      </c>
      <c r="L318" s="195" t="s">
        <v>229</v>
      </c>
      <c r="M318" s="196" t="e">
        <f>#REF!+M308+#REF!+M313+#REF!+M317+#REF!</f>
        <v>#REF!</v>
      </c>
      <c r="N318" s="196" t="e">
        <f>#REF!+N308+#REF!+N313+#REF!+N317+#REF!</f>
        <v>#REF!</v>
      </c>
      <c r="O318" s="139"/>
      <c r="P318" s="139"/>
    </row>
    <row r="319" spans="1:16" x14ac:dyDescent="0.2">
      <c r="A319" s="179"/>
    </row>
    <row r="320" spans="1:16" x14ac:dyDescent="0.2">
      <c r="A320" s="179"/>
    </row>
    <row r="321" spans="1:16" x14ac:dyDescent="0.2">
      <c r="A321" s="191" t="s">
        <v>237</v>
      </c>
      <c r="G321" s="180"/>
      <c r="H321" s="180"/>
      <c r="I321" s="180"/>
      <c r="J321" s="180"/>
      <c r="K321" s="181"/>
      <c r="L321" s="197"/>
      <c r="M321" s="192"/>
      <c r="N321" s="192"/>
      <c r="O321" s="139"/>
      <c r="P321" s="141"/>
    </row>
    <row r="322" spans="1:16" x14ac:dyDescent="0.2">
      <c r="A322" s="191" t="s">
        <v>232</v>
      </c>
      <c r="G322" s="180"/>
      <c r="H322" s="180"/>
      <c r="I322" s="180"/>
      <c r="J322" s="180"/>
      <c r="K322" s="181"/>
      <c r="O322" s="139"/>
      <c r="P322" s="139"/>
    </row>
    <row r="323" spans="1:16" x14ac:dyDescent="0.2">
      <c r="A323" s="191"/>
      <c r="B323" s="120" t="s">
        <v>198</v>
      </c>
      <c r="C323" s="120" t="s">
        <v>199</v>
      </c>
      <c r="D323" s="120" t="s">
        <v>200</v>
      </c>
      <c r="E323" s="120" t="s">
        <v>201</v>
      </c>
      <c r="F323" s="120" t="s">
        <v>201</v>
      </c>
      <c r="G323" s="180" t="s">
        <v>104</v>
      </c>
      <c r="H323" s="180" t="s">
        <v>202</v>
      </c>
      <c r="I323" s="180" t="s">
        <v>202</v>
      </c>
      <c r="J323" s="180" t="s">
        <v>203</v>
      </c>
      <c r="K323" s="181" t="s">
        <v>204</v>
      </c>
      <c r="L323" s="120" t="s">
        <v>205</v>
      </c>
      <c r="M323" s="120" t="s">
        <v>205</v>
      </c>
      <c r="N323" s="120" t="s">
        <v>205</v>
      </c>
      <c r="O323" s="139" t="s">
        <v>206</v>
      </c>
      <c r="P323" s="139"/>
    </row>
    <row r="324" spans="1:16" x14ac:dyDescent="0.2">
      <c r="A324" s="191" t="s">
        <v>207</v>
      </c>
      <c r="B324" s="120" t="s">
        <v>208</v>
      </c>
      <c r="C324" s="120" t="s">
        <v>208</v>
      </c>
      <c r="D324" s="120" t="s">
        <v>208</v>
      </c>
      <c r="E324" s="120" t="s">
        <v>208</v>
      </c>
      <c r="F324" s="120" t="s">
        <v>208</v>
      </c>
      <c r="G324" s="180" t="s">
        <v>59</v>
      </c>
      <c r="H324" s="180" t="s">
        <v>59</v>
      </c>
      <c r="I324" s="180" t="s">
        <v>59</v>
      </c>
      <c r="J324" s="180" t="s">
        <v>209</v>
      </c>
      <c r="K324" s="181" t="s">
        <v>5</v>
      </c>
      <c r="L324" s="120" t="s">
        <v>210</v>
      </c>
      <c r="M324" s="120" t="s">
        <v>211</v>
      </c>
      <c r="N324" s="120" t="s">
        <v>211</v>
      </c>
      <c r="O324" s="139"/>
      <c r="P324" s="139"/>
    </row>
    <row r="325" spans="1:16" x14ac:dyDescent="0.2">
      <c r="A325" s="191"/>
      <c r="B325" s="120">
        <v>1.5</v>
      </c>
      <c r="C325" s="120">
        <v>0.3</v>
      </c>
      <c r="D325" s="120">
        <v>7.2</v>
      </c>
      <c r="E325" s="120">
        <v>1.5</v>
      </c>
      <c r="F325" s="120">
        <v>1.5</v>
      </c>
      <c r="G325" s="180">
        <f>B325*D325*F325</f>
        <v>16.200000000000003</v>
      </c>
      <c r="H325" s="180">
        <f>F325-I325</f>
        <v>-11.460000000000003</v>
      </c>
      <c r="I325" s="180">
        <f>G325-J325</f>
        <v>12.960000000000003</v>
      </c>
      <c r="J325" s="180">
        <f>B325*C325*D325</f>
        <v>3.2399999999999998</v>
      </c>
      <c r="K325" s="181">
        <f>C325*2*D325</f>
        <v>4.32</v>
      </c>
      <c r="L325" s="189">
        <f>D325/0.4+1</f>
        <v>19</v>
      </c>
      <c r="M325" s="189">
        <f>A325/0.3+1</f>
        <v>1</v>
      </c>
      <c r="N325" s="189">
        <f>B325/0.3+1</f>
        <v>6</v>
      </c>
      <c r="O325" s="139"/>
      <c r="P325" s="139"/>
    </row>
    <row r="326" spans="1:16" x14ac:dyDescent="0.2">
      <c r="A326" s="191"/>
      <c r="B326" s="120">
        <v>0.25</v>
      </c>
      <c r="C326" s="120">
        <v>0.2</v>
      </c>
      <c r="D326" s="120">
        <v>7.2</v>
      </c>
      <c r="G326" s="180">
        <f>B326*C326*D326</f>
        <v>0.36000000000000004</v>
      </c>
      <c r="H326" s="180"/>
      <c r="I326" s="180"/>
      <c r="J326" s="180">
        <f>B326*C326*D326</f>
        <v>0.36000000000000004</v>
      </c>
      <c r="K326" s="181"/>
      <c r="O326" s="139"/>
      <c r="P326" s="139"/>
    </row>
    <row r="327" spans="1:16" x14ac:dyDescent="0.2">
      <c r="A327" s="191"/>
      <c r="G327" s="180">
        <f>SUM(G325:G326)</f>
        <v>16.560000000000002</v>
      </c>
      <c r="H327" s="180">
        <f>SUM(H325:H326)</f>
        <v>-11.460000000000003</v>
      </c>
      <c r="I327" s="180">
        <f>SUM(I325:I326)</f>
        <v>12.960000000000003</v>
      </c>
      <c r="J327" s="180">
        <f>SUM(J325:J326)</f>
        <v>3.5999999999999996</v>
      </c>
      <c r="K327" s="181">
        <f>SUM(K325:K326)</f>
        <v>4.32</v>
      </c>
      <c r="O327" s="139"/>
      <c r="P327" s="139"/>
    </row>
    <row r="328" spans="1:16" x14ac:dyDescent="0.2">
      <c r="A328" s="191"/>
      <c r="G328" s="180"/>
      <c r="H328" s="180"/>
      <c r="I328" s="180"/>
      <c r="J328" s="180"/>
      <c r="K328" s="181"/>
      <c r="O328" s="139" t="s">
        <v>213</v>
      </c>
      <c r="P328" s="139"/>
    </row>
    <row r="329" spans="1:16" x14ac:dyDescent="0.2">
      <c r="A329" s="191" t="s">
        <v>214</v>
      </c>
      <c r="B329" s="120" t="s">
        <v>198</v>
      </c>
      <c r="C329" s="120" t="s">
        <v>199</v>
      </c>
      <c r="D329" s="120" t="s">
        <v>200</v>
      </c>
      <c r="E329" s="120" t="s">
        <v>201</v>
      </c>
      <c r="F329" s="120" t="s">
        <v>201</v>
      </c>
      <c r="G329" s="180" t="s">
        <v>104</v>
      </c>
      <c r="H329" s="180" t="s">
        <v>202</v>
      </c>
      <c r="I329" s="180" t="s">
        <v>202</v>
      </c>
      <c r="J329" s="180" t="s">
        <v>203</v>
      </c>
      <c r="K329" s="181" t="s">
        <v>204</v>
      </c>
      <c r="L329" s="120" t="s">
        <v>205</v>
      </c>
      <c r="M329" s="180" t="s">
        <v>215</v>
      </c>
      <c r="N329" s="180" t="s">
        <v>215</v>
      </c>
      <c r="O329" s="139" t="s">
        <v>217</v>
      </c>
      <c r="P329" s="139" t="s">
        <v>218</v>
      </c>
    </row>
    <row r="330" spans="1:16" x14ac:dyDescent="0.2">
      <c r="A330" s="191"/>
      <c r="B330" s="120" t="s">
        <v>208</v>
      </c>
      <c r="C330" s="120" t="s">
        <v>208</v>
      </c>
      <c r="D330" s="120">
        <v>7.2</v>
      </c>
      <c r="E330" s="120" t="s">
        <v>208</v>
      </c>
      <c r="F330" s="120" t="s">
        <v>208</v>
      </c>
      <c r="G330" s="180" t="s">
        <v>59</v>
      </c>
      <c r="H330" s="180" t="s">
        <v>59</v>
      </c>
      <c r="I330" s="180" t="s">
        <v>59</v>
      </c>
      <c r="J330" s="180" t="s">
        <v>209</v>
      </c>
      <c r="K330" s="181" t="s">
        <v>5</v>
      </c>
      <c r="L330" s="120" t="s">
        <v>219</v>
      </c>
      <c r="M330" s="180" t="s">
        <v>220</v>
      </c>
      <c r="N330" s="180" t="s">
        <v>220</v>
      </c>
      <c r="O330" s="139" t="s">
        <v>5</v>
      </c>
      <c r="P330" s="139" t="s">
        <v>221</v>
      </c>
    </row>
    <row r="331" spans="1:16" x14ac:dyDescent="0.2">
      <c r="A331" s="191"/>
      <c r="B331" s="120">
        <v>0.3</v>
      </c>
      <c r="C331" s="120">
        <v>6</v>
      </c>
      <c r="D331" s="120">
        <v>7.2</v>
      </c>
      <c r="G331" s="180">
        <f>(B331+2)*C331*D331</f>
        <v>99.36</v>
      </c>
      <c r="H331" s="180">
        <f>F331-I331</f>
        <v>-86.4</v>
      </c>
      <c r="I331" s="180">
        <f>G331-J331</f>
        <v>86.4</v>
      </c>
      <c r="J331" s="180">
        <f>B331*C331*D331</f>
        <v>12.959999999999999</v>
      </c>
      <c r="K331" s="181">
        <f>C331*2*D331</f>
        <v>86.4</v>
      </c>
      <c r="L331" s="189">
        <f>D331/0.2+1</f>
        <v>37</v>
      </c>
      <c r="M331" s="190">
        <f>(B331+0.7)*K331*3.28*0.668/2000</f>
        <v>9.4652927999999997E-2</v>
      </c>
      <c r="N331" s="190">
        <f>(C331+0.7)*L331*3.28*0.668/2000</f>
        <v>0.27157940800000002</v>
      </c>
      <c r="O331" s="139" t="e">
        <f>#REF!</f>
        <v>#REF!</v>
      </c>
      <c r="P331" s="139">
        <v>2</v>
      </c>
    </row>
    <row r="332" spans="1:16" x14ac:dyDescent="0.2">
      <c r="A332" s="191"/>
      <c r="G332" s="180"/>
      <c r="H332" s="180"/>
      <c r="I332" s="180"/>
      <c r="J332" s="180"/>
      <c r="K332" s="181"/>
      <c r="L332" s="189"/>
      <c r="M332" s="190"/>
      <c r="N332" s="190"/>
      <c r="O332" s="139"/>
      <c r="P332" s="139"/>
    </row>
    <row r="333" spans="1:16" x14ac:dyDescent="0.2">
      <c r="A333" s="191"/>
      <c r="G333" s="180"/>
      <c r="H333" s="180"/>
      <c r="I333" s="180"/>
      <c r="J333" s="180"/>
      <c r="K333" s="181"/>
      <c r="O333" s="139" t="s">
        <v>213</v>
      </c>
      <c r="P333" s="139"/>
    </row>
    <row r="334" spans="1:16" x14ac:dyDescent="0.2">
      <c r="A334" s="191" t="s">
        <v>214</v>
      </c>
      <c r="B334" s="120" t="s">
        <v>198</v>
      </c>
      <c r="C334" s="120" t="s">
        <v>199</v>
      </c>
      <c r="D334" s="120" t="s">
        <v>200</v>
      </c>
      <c r="E334" s="120" t="s">
        <v>201</v>
      </c>
      <c r="F334" s="120" t="s">
        <v>201</v>
      </c>
      <c r="G334" s="180" t="s">
        <v>104</v>
      </c>
      <c r="H334" s="180" t="s">
        <v>202</v>
      </c>
      <c r="I334" s="180" t="s">
        <v>202</v>
      </c>
      <c r="J334" s="180" t="s">
        <v>203</v>
      </c>
      <c r="K334" s="181" t="s">
        <v>204</v>
      </c>
      <c r="L334" s="120" t="s">
        <v>205</v>
      </c>
      <c r="M334" s="180" t="s">
        <v>215</v>
      </c>
      <c r="N334" s="180" t="s">
        <v>215</v>
      </c>
      <c r="O334" s="139" t="s">
        <v>217</v>
      </c>
      <c r="P334" s="139" t="s">
        <v>218</v>
      </c>
    </row>
    <row r="335" spans="1:16" x14ac:dyDescent="0.2">
      <c r="A335" s="191"/>
      <c r="B335" s="120" t="s">
        <v>208</v>
      </c>
      <c r="C335" s="120" t="s">
        <v>208</v>
      </c>
      <c r="D335" s="120" t="s">
        <v>208</v>
      </c>
      <c r="E335" s="120" t="s">
        <v>208</v>
      </c>
      <c r="F335" s="120" t="s">
        <v>208</v>
      </c>
      <c r="G335" s="180" t="s">
        <v>59</v>
      </c>
      <c r="H335" s="180" t="s">
        <v>59</v>
      </c>
      <c r="I335" s="180" t="s">
        <v>59</v>
      </c>
      <c r="J335" s="180" t="s">
        <v>209</v>
      </c>
      <c r="K335" s="181" t="s">
        <v>5</v>
      </c>
      <c r="L335" s="120" t="s">
        <v>219</v>
      </c>
      <c r="M335" s="180" t="s">
        <v>220</v>
      </c>
      <c r="N335" s="180" t="s">
        <v>220</v>
      </c>
      <c r="O335" s="139" t="s">
        <v>5</v>
      </c>
      <c r="P335" s="139" t="s">
        <v>221</v>
      </c>
    </row>
    <row r="336" spans="1:16" x14ac:dyDescent="0.2">
      <c r="A336" s="191"/>
      <c r="B336" s="120">
        <v>0.3</v>
      </c>
      <c r="C336" s="120">
        <v>3.56</v>
      </c>
      <c r="D336" s="120">
        <v>7.2</v>
      </c>
      <c r="G336" s="180">
        <f>(B336+2)*C336*D336</f>
        <v>58.953599999999994</v>
      </c>
      <c r="H336" s="180">
        <f>F336-I336</f>
        <v>-51.263999999999996</v>
      </c>
      <c r="I336" s="180">
        <f>G336-J336</f>
        <v>51.263999999999996</v>
      </c>
      <c r="J336" s="180">
        <f>B336*C336*D336</f>
        <v>7.6896000000000004</v>
      </c>
      <c r="K336" s="181">
        <f>C336*2*D336</f>
        <v>51.264000000000003</v>
      </c>
      <c r="L336" s="189">
        <f>D336/0.2+1</f>
        <v>37</v>
      </c>
      <c r="M336" s="190">
        <f>(B336+0.7)*K336*3.28*0.668/2000</f>
        <v>5.6160737279999998E-2</v>
      </c>
      <c r="N336" s="190">
        <f>(C336+0.7)*L336*3.28*0.668/2000</f>
        <v>0.17267586240000002</v>
      </c>
      <c r="O336" s="139" t="e">
        <f>#REF!</f>
        <v>#REF!</v>
      </c>
      <c r="P336" s="139">
        <v>2</v>
      </c>
    </row>
    <row r="337" spans="1:16" x14ac:dyDescent="0.2">
      <c r="A337" s="191"/>
      <c r="G337" s="180"/>
      <c r="H337" s="180"/>
      <c r="I337" s="180"/>
      <c r="J337" s="180"/>
      <c r="K337" s="181"/>
      <c r="L337" s="189"/>
      <c r="M337" s="190"/>
      <c r="N337" s="190"/>
      <c r="O337" s="139"/>
      <c r="P337" s="139"/>
    </row>
    <row r="338" spans="1:16" x14ac:dyDescent="0.2">
      <c r="A338" s="191" t="s">
        <v>222</v>
      </c>
      <c r="B338" s="120" t="s">
        <v>198</v>
      </c>
      <c r="C338" s="120" t="s">
        <v>199</v>
      </c>
      <c r="D338" s="120" t="s">
        <v>200</v>
      </c>
      <c r="E338" s="120" t="s">
        <v>201</v>
      </c>
      <c r="F338" s="120" t="s">
        <v>201</v>
      </c>
      <c r="G338" s="180" t="s">
        <v>223</v>
      </c>
      <c r="H338" s="180" t="s">
        <v>224</v>
      </c>
      <c r="I338" s="180" t="s">
        <v>224</v>
      </c>
      <c r="J338" s="180" t="s">
        <v>203</v>
      </c>
      <c r="K338" s="181" t="s">
        <v>204</v>
      </c>
      <c r="L338" s="120" t="s">
        <v>205</v>
      </c>
      <c r="M338" s="180" t="s">
        <v>215</v>
      </c>
      <c r="N338" s="180" t="s">
        <v>215</v>
      </c>
      <c r="O338" s="139" t="s">
        <v>226</v>
      </c>
      <c r="P338" s="139"/>
    </row>
    <row r="339" spans="1:16" x14ac:dyDescent="0.2">
      <c r="A339" s="191"/>
      <c r="B339" s="120" t="s">
        <v>208</v>
      </c>
      <c r="C339" s="120" t="s">
        <v>208</v>
      </c>
      <c r="D339" s="120">
        <v>7.2</v>
      </c>
      <c r="E339" s="120" t="s">
        <v>208</v>
      </c>
      <c r="F339" s="120" t="s">
        <v>208</v>
      </c>
      <c r="G339" s="180" t="s">
        <v>59</v>
      </c>
      <c r="H339" s="180" t="s">
        <v>27</v>
      </c>
      <c r="I339" s="180" t="s">
        <v>27</v>
      </c>
      <c r="J339" s="180" t="s">
        <v>209</v>
      </c>
      <c r="K339" s="181" t="s">
        <v>5</v>
      </c>
      <c r="L339" s="120" t="s">
        <v>227</v>
      </c>
      <c r="M339" s="180" t="s">
        <v>220</v>
      </c>
      <c r="N339" s="180" t="s">
        <v>220</v>
      </c>
      <c r="O339" s="139" t="s">
        <v>5</v>
      </c>
      <c r="P339" s="139"/>
    </row>
    <row r="340" spans="1:16" x14ac:dyDescent="0.2">
      <c r="A340" s="191"/>
      <c r="B340" s="120">
        <v>0.2</v>
      </c>
      <c r="C340" s="120">
        <v>0.25</v>
      </c>
      <c r="D340" s="120">
        <v>7.2</v>
      </c>
      <c r="E340" s="120">
        <v>0</v>
      </c>
      <c r="F340" s="120">
        <v>0</v>
      </c>
      <c r="G340" s="180">
        <f>0.3*0.6*D340</f>
        <v>1.296</v>
      </c>
      <c r="H340" s="180">
        <f>C340</f>
        <v>0.25</v>
      </c>
      <c r="I340" s="180">
        <f>D340</f>
        <v>7.2</v>
      </c>
      <c r="J340" s="180">
        <f>B340*C340*D340</f>
        <v>0.36000000000000004</v>
      </c>
      <c r="K340" s="181">
        <f>C340*2*D340</f>
        <v>3.6</v>
      </c>
      <c r="L340" s="189">
        <v>2</v>
      </c>
      <c r="M340" s="192">
        <f>C340*K340*3.28*0.668/2000</f>
        <v>9.8596800000000004E-4</v>
      </c>
      <c r="N340" s="192">
        <f>D340*L340*3.28*0.668/2000</f>
        <v>1.5775488000000001E-2</v>
      </c>
      <c r="O340" s="139">
        <f>D340*0.55</f>
        <v>3.9600000000000004</v>
      </c>
      <c r="P340" s="139"/>
    </row>
    <row r="341" spans="1:16" x14ac:dyDescent="0.2">
      <c r="A341" s="191"/>
      <c r="D341" s="193"/>
      <c r="E341" s="193" t="s">
        <v>228</v>
      </c>
      <c r="F341" s="193" t="s">
        <v>228</v>
      </c>
      <c r="G341" s="193">
        <f>G336+G331+G327</f>
        <v>174.87360000000001</v>
      </c>
      <c r="H341" s="193">
        <f>H336+H331+H327</f>
        <v>-149.124</v>
      </c>
      <c r="I341" s="193">
        <f>I336+I331+I327</f>
        <v>150.624</v>
      </c>
      <c r="J341" s="193">
        <f>J340+J336+J331+J327</f>
        <v>24.6096</v>
      </c>
      <c r="K341" s="194">
        <f>K340+K336+K331+K327</f>
        <v>145.584</v>
      </c>
      <c r="L341" s="195" t="s">
        <v>229</v>
      </c>
      <c r="M341" s="196" t="e">
        <f>#REF!+M331+#REF!+M336+#REF!+M340+#REF!</f>
        <v>#REF!</v>
      </c>
      <c r="N341" s="196" t="e">
        <f>#REF!+N331+#REF!+N336+#REF!+N340+#REF!</f>
        <v>#REF!</v>
      </c>
      <c r="O341" s="139"/>
      <c r="P341" s="139"/>
    </row>
    <row r="342" spans="1:16" x14ac:dyDescent="0.2">
      <c r="A342" s="179"/>
    </row>
    <row r="343" spans="1:16" x14ac:dyDescent="0.2">
      <c r="A343" s="191" t="s">
        <v>239</v>
      </c>
      <c r="G343" s="180"/>
      <c r="H343" s="180"/>
      <c r="I343" s="180"/>
      <c r="J343" s="180"/>
      <c r="K343" s="181"/>
      <c r="L343" s="197"/>
      <c r="M343" s="192"/>
      <c r="N343" s="192"/>
      <c r="O343" s="139"/>
      <c r="P343" s="141"/>
    </row>
    <row r="344" spans="1:16" x14ac:dyDescent="0.2">
      <c r="A344" s="191" t="s">
        <v>232</v>
      </c>
      <c r="G344" s="180"/>
      <c r="H344" s="180"/>
      <c r="I344" s="180"/>
      <c r="J344" s="180"/>
      <c r="K344" s="181"/>
      <c r="O344" s="139"/>
      <c r="P344" s="139"/>
    </row>
    <row r="345" spans="1:16" x14ac:dyDescent="0.2">
      <c r="A345" s="191"/>
      <c r="B345" s="120" t="s">
        <v>198</v>
      </c>
      <c r="C345" s="120" t="s">
        <v>199</v>
      </c>
      <c r="D345" s="120" t="s">
        <v>200</v>
      </c>
      <c r="E345" s="120" t="s">
        <v>201</v>
      </c>
      <c r="F345" s="120" t="s">
        <v>201</v>
      </c>
      <c r="G345" s="180" t="s">
        <v>104</v>
      </c>
      <c r="H345" s="180" t="s">
        <v>202</v>
      </c>
      <c r="I345" s="180" t="s">
        <v>202</v>
      </c>
      <c r="J345" s="180" t="s">
        <v>203</v>
      </c>
      <c r="K345" s="181" t="s">
        <v>204</v>
      </c>
      <c r="L345" s="120" t="s">
        <v>205</v>
      </c>
      <c r="M345" s="120" t="s">
        <v>205</v>
      </c>
      <c r="N345" s="120" t="s">
        <v>205</v>
      </c>
      <c r="O345" s="139" t="s">
        <v>206</v>
      </c>
      <c r="P345" s="139"/>
    </row>
    <row r="346" spans="1:16" x14ac:dyDescent="0.2">
      <c r="A346" s="191" t="s">
        <v>207</v>
      </c>
      <c r="B346" s="120" t="s">
        <v>208</v>
      </c>
      <c r="C346" s="120" t="s">
        <v>208</v>
      </c>
      <c r="D346" s="120" t="s">
        <v>208</v>
      </c>
      <c r="E346" s="120" t="s">
        <v>208</v>
      </c>
      <c r="F346" s="120" t="s">
        <v>208</v>
      </c>
      <c r="G346" s="180" t="s">
        <v>59</v>
      </c>
      <c r="H346" s="180" t="s">
        <v>59</v>
      </c>
      <c r="I346" s="180" t="s">
        <v>59</v>
      </c>
      <c r="J346" s="180" t="s">
        <v>209</v>
      </c>
      <c r="K346" s="181" t="s">
        <v>5</v>
      </c>
      <c r="L346" s="120" t="s">
        <v>210</v>
      </c>
      <c r="M346" s="120" t="s">
        <v>211</v>
      </c>
      <c r="N346" s="120" t="s">
        <v>211</v>
      </c>
      <c r="O346" s="139"/>
      <c r="P346" s="139"/>
    </row>
    <row r="347" spans="1:16" x14ac:dyDescent="0.2">
      <c r="A347" s="191"/>
      <c r="B347" s="120">
        <v>1.5</v>
      </c>
      <c r="C347" s="120">
        <v>0.3</v>
      </c>
      <c r="D347" s="120">
        <v>10.3</v>
      </c>
      <c r="E347" s="120">
        <v>1.5</v>
      </c>
      <c r="F347" s="120">
        <v>1.5</v>
      </c>
      <c r="G347" s="180">
        <f>B347*D347*F347</f>
        <v>23.175000000000001</v>
      </c>
      <c r="H347" s="180">
        <f>F347-I347</f>
        <v>-17.04</v>
      </c>
      <c r="I347" s="180">
        <f>G347-J347</f>
        <v>18.54</v>
      </c>
      <c r="J347" s="180">
        <f>B347*C347*D347</f>
        <v>4.6349999999999998</v>
      </c>
      <c r="K347" s="181">
        <f>C347*2*D347</f>
        <v>6.1800000000000006</v>
      </c>
      <c r="L347" s="189">
        <f>D347/0.4+1</f>
        <v>26.75</v>
      </c>
      <c r="M347" s="189">
        <f>A347/0.3+1</f>
        <v>1</v>
      </c>
      <c r="N347" s="189">
        <f>B347/0.3+1</f>
        <v>6</v>
      </c>
      <c r="O347" s="139"/>
      <c r="P347" s="139"/>
    </row>
    <row r="348" spans="1:16" x14ac:dyDescent="0.2">
      <c r="A348" s="191"/>
      <c r="B348" s="120">
        <v>0.25</v>
      </c>
      <c r="C348" s="120">
        <v>0.2</v>
      </c>
      <c r="D348" s="120">
        <v>10.3</v>
      </c>
      <c r="G348" s="180">
        <f>B348*C348*D348</f>
        <v>0.51500000000000001</v>
      </c>
      <c r="H348" s="180"/>
      <c r="I348" s="180"/>
      <c r="J348" s="180">
        <f>B348*C348*D348</f>
        <v>0.51500000000000001</v>
      </c>
      <c r="K348" s="181"/>
      <c r="O348" s="139"/>
      <c r="P348" s="139"/>
    </row>
    <row r="349" spans="1:16" x14ac:dyDescent="0.2">
      <c r="A349" s="191"/>
      <c r="G349" s="180">
        <f>SUM(G347:G348)</f>
        <v>23.69</v>
      </c>
      <c r="H349" s="180">
        <f>SUM(H347:H348)</f>
        <v>-17.04</v>
      </c>
      <c r="I349" s="180">
        <f>SUM(I347:I348)</f>
        <v>18.54</v>
      </c>
      <c r="J349" s="180">
        <f>SUM(J347:J348)</f>
        <v>5.1499999999999995</v>
      </c>
      <c r="K349" s="181">
        <f>SUM(K347:K348)</f>
        <v>6.1800000000000006</v>
      </c>
      <c r="O349" s="139"/>
      <c r="P349" s="139"/>
    </row>
    <row r="350" spans="1:16" x14ac:dyDescent="0.2">
      <c r="A350" s="191"/>
      <c r="G350" s="180"/>
      <c r="H350" s="180"/>
      <c r="I350" s="180"/>
      <c r="J350" s="180"/>
      <c r="K350" s="181"/>
      <c r="O350" s="139" t="s">
        <v>213</v>
      </c>
      <c r="P350" s="139"/>
    </row>
    <row r="351" spans="1:16" x14ac:dyDescent="0.2">
      <c r="A351" s="191" t="s">
        <v>214</v>
      </c>
      <c r="B351" s="120" t="s">
        <v>198</v>
      </c>
      <c r="C351" s="120" t="s">
        <v>199</v>
      </c>
      <c r="D351" s="120" t="s">
        <v>200</v>
      </c>
      <c r="E351" s="120" t="s">
        <v>201</v>
      </c>
      <c r="F351" s="120" t="s">
        <v>201</v>
      </c>
      <c r="G351" s="180" t="s">
        <v>104</v>
      </c>
      <c r="H351" s="180" t="s">
        <v>202</v>
      </c>
      <c r="I351" s="180" t="s">
        <v>202</v>
      </c>
      <c r="J351" s="180" t="s">
        <v>203</v>
      </c>
      <c r="K351" s="181" t="s">
        <v>204</v>
      </c>
      <c r="L351" s="120" t="s">
        <v>205</v>
      </c>
      <c r="M351" s="180" t="s">
        <v>215</v>
      </c>
      <c r="N351" s="180" t="s">
        <v>215</v>
      </c>
      <c r="O351" s="139" t="s">
        <v>217</v>
      </c>
      <c r="P351" s="139" t="s">
        <v>218</v>
      </c>
    </row>
    <row r="352" spans="1:16" x14ac:dyDescent="0.2">
      <c r="A352" s="191"/>
      <c r="B352" s="120" t="s">
        <v>208</v>
      </c>
      <c r="C352" s="120" t="s">
        <v>208</v>
      </c>
      <c r="D352" s="120">
        <v>10.3</v>
      </c>
      <c r="E352" s="120" t="s">
        <v>208</v>
      </c>
      <c r="F352" s="120" t="s">
        <v>208</v>
      </c>
      <c r="G352" s="180" t="s">
        <v>59</v>
      </c>
      <c r="H352" s="180" t="s">
        <v>59</v>
      </c>
      <c r="I352" s="180" t="s">
        <v>59</v>
      </c>
      <c r="J352" s="180" t="s">
        <v>209</v>
      </c>
      <c r="K352" s="181" t="s">
        <v>5</v>
      </c>
      <c r="L352" s="120" t="s">
        <v>219</v>
      </c>
      <c r="M352" s="180" t="s">
        <v>220</v>
      </c>
      <c r="N352" s="180" t="s">
        <v>220</v>
      </c>
      <c r="O352" s="139" t="s">
        <v>5</v>
      </c>
      <c r="P352" s="139" t="s">
        <v>221</v>
      </c>
    </row>
    <row r="353" spans="1:16" x14ac:dyDescent="0.2">
      <c r="A353" s="191"/>
      <c r="B353" s="120">
        <v>0.3</v>
      </c>
      <c r="C353" s="120">
        <v>6</v>
      </c>
      <c r="D353" s="120">
        <v>10.3</v>
      </c>
      <c r="G353" s="180">
        <f>(B353+2)*C353*D353</f>
        <v>142.13999999999999</v>
      </c>
      <c r="H353" s="180">
        <f>F353-I353</f>
        <v>-123.6</v>
      </c>
      <c r="I353" s="180">
        <f>G353-J353</f>
        <v>123.6</v>
      </c>
      <c r="J353" s="180">
        <f>B353*C353*D353</f>
        <v>18.54</v>
      </c>
      <c r="K353" s="181">
        <f>C353*2*D353</f>
        <v>123.60000000000001</v>
      </c>
      <c r="L353" s="189">
        <f>D353/0.2+1</f>
        <v>52.5</v>
      </c>
      <c r="M353" s="190">
        <f>(B353+0.7)*K353*3.28*0.668/2000</f>
        <v>0.13540627199999999</v>
      </c>
      <c r="N353" s="190">
        <f>(C353+0.7)*L353*3.28*0.668/2000</f>
        <v>0.38534916000000002</v>
      </c>
      <c r="O353" s="139" t="e">
        <f>#REF!</f>
        <v>#REF!</v>
      </c>
      <c r="P353" s="139">
        <v>2</v>
      </c>
    </row>
    <row r="354" spans="1:16" x14ac:dyDescent="0.2">
      <c r="A354" s="191"/>
      <c r="G354" s="180"/>
      <c r="H354" s="180"/>
      <c r="I354" s="180"/>
      <c r="J354" s="180"/>
      <c r="K354" s="181"/>
      <c r="L354" s="189"/>
      <c r="M354" s="190"/>
      <c r="N354" s="190"/>
      <c r="O354" s="139"/>
      <c r="P354" s="139"/>
    </row>
    <row r="355" spans="1:16" x14ac:dyDescent="0.2">
      <c r="A355" s="191"/>
      <c r="G355" s="180"/>
      <c r="H355" s="180"/>
      <c r="I355" s="180"/>
      <c r="J355" s="180"/>
      <c r="K355" s="181"/>
      <c r="O355" s="139" t="s">
        <v>213</v>
      </c>
      <c r="P355" s="139"/>
    </row>
    <row r="356" spans="1:16" x14ac:dyDescent="0.2">
      <c r="A356" s="191" t="s">
        <v>214</v>
      </c>
      <c r="B356" s="120" t="s">
        <v>198</v>
      </c>
      <c r="C356" s="120" t="s">
        <v>199</v>
      </c>
      <c r="D356" s="120" t="s">
        <v>200</v>
      </c>
      <c r="E356" s="120" t="s">
        <v>201</v>
      </c>
      <c r="F356" s="120" t="s">
        <v>201</v>
      </c>
      <c r="G356" s="180" t="s">
        <v>104</v>
      </c>
      <c r="H356" s="180" t="s">
        <v>202</v>
      </c>
      <c r="I356" s="180" t="s">
        <v>202</v>
      </c>
      <c r="J356" s="180" t="s">
        <v>203</v>
      </c>
      <c r="K356" s="181" t="s">
        <v>204</v>
      </c>
      <c r="L356" s="120" t="s">
        <v>205</v>
      </c>
      <c r="M356" s="180" t="s">
        <v>215</v>
      </c>
      <c r="N356" s="180" t="s">
        <v>215</v>
      </c>
      <c r="O356" s="139" t="s">
        <v>217</v>
      </c>
      <c r="P356" s="139" t="s">
        <v>218</v>
      </c>
    </row>
    <row r="357" spans="1:16" x14ac:dyDescent="0.2">
      <c r="A357" s="191"/>
      <c r="B357" s="120" t="s">
        <v>208</v>
      </c>
      <c r="C357" s="120" t="s">
        <v>208</v>
      </c>
      <c r="D357" s="120" t="s">
        <v>208</v>
      </c>
      <c r="E357" s="120" t="s">
        <v>208</v>
      </c>
      <c r="F357" s="120" t="s">
        <v>208</v>
      </c>
      <c r="G357" s="180" t="s">
        <v>59</v>
      </c>
      <c r="H357" s="180" t="s">
        <v>59</v>
      </c>
      <c r="I357" s="180" t="s">
        <v>59</v>
      </c>
      <c r="J357" s="180" t="s">
        <v>209</v>
      </c>
      <c r="K357" s="181" t="s">
        <v>5</v>
      </c>
      <c r="L357" s="120" t="s">
        <v>219</v>
      </c>
      <c r="M357" s="180" t="s">
        <v>220</v>
      </c>
      <c r="N357" s="180" t="s">
        <v>220</v>
      </c>
      <c r="O357" s="139" t="s">
        <v>5</v>
      </c>
      <c r="P357" s="139" t="s">
        <v>221</v>
      </c>
    </row>
    <row r="358" spans="1:16" x14ac:dyDescent="0.2">
      <c r="A358" s="191"/>
      <c r="B358" s="120">
        <v>0.3</v>
      </c>
      <c r="C358" s="120">
        <v>3.56</v>
      </c>
      <c r="D358" s="120">
        <v>10.3</v>
      </c>
      <c r="G358" s="180">
        <f>(B358+2)*C358*D358</f>
        <v>84.336399999999998</v>
      </c>
      <c r="H358" s="180">
        <f>F358-I358</f>
        <v>-73.335999999999999</v>
      </c>
      <c r="I358" s="180">
        <f>G358-J358</f>
        <v>73.335999999999999</v>
      </c>
      <c r="J358" s="180">
        <f>B358*C358*D358</f>
        <v>11.000400000000001</v>
      </c>
      <c r="K358" s="181">
        <f>C358*2*D358</f>
        <v>73.336000000000013</v>
      </c>
      <c r="L358" s="189">
        <f>D358/0.2+1</f>
        <v>52.5</v>
      </c>
      <c r="M358" s="190">
        <f>(B358+0.7)*K358*3.28*0.668/2000</f>
        <v>8.0341054720000013E-2</v>
      </c>
      <c r="N358" s="190">
        <f>(C358+0.7)*L358*3.28*0.668/2000</f>
        <v>0.24501304799999996</v>
      </c>
      <c r="O358" s="139" t="e">
        <f>#REF!</f>
        <v>#REF!</v>
      </c>
      <c r="P358" s="139">
        <v>2</v>
      </c>
    </row>
    <row r="359" spans="1:16" x14ac:dyDescent="0.2">
      <c r="A359" s="191"/>
      <c r="G359" s="180"/>
      <c r="H359" s="180"/>
      <c r="I359" s="180"/>
      <c r="J359" s="180"/>
      <c r="K359" s="181"/>
      <c r="L359" s="189"/>
      <c r="M359" s="190"/>
      <c r="N359" s="190"/>
      <c r="O359" s="139"/>
      <c r="P359" s="139"/>
    </row>
    <row r="360" spans="1:16" x14ac:dyDescent="0.2">
      <c r="A360" s="191" t="s">
        <v>222</v>
      </c>
      <c r="B360" s="120" t="s">
        <v>198</v>
      </c>
      <c r="C360" s="120" t="s">
        <v>199</v>
      </c>
      <c r="D360" s="120" t="s">
        <v>200</v>
      </c>
      <c r="E360" s="120" t="s">
        <v>201</v>
      </c>
      <c r="F360" s="120" t="s">
        <v>201</v>
      </c>
      <c r="G360" s="180" t="s">
        <v>223</v>
      </c>
      <c r="H360" s="180" t="s">
        <v>224</v>
      </c>
      <c r="I360" s="180" t="s">
        <v>224</v>
      </c>
      <c r="J360" s="180" t="s">
        <v>203</v>
      </c>
      <c r="K360" s="181" t="s">
        <v>204</v>
      </c>
      <c r="L360" s="120" t="s">
        <v>205</v>
      </c>
      <c r="M360" s="180" t="s">
        <v>215</v>
      </c>
      <c r="N360" s="180" t="s">
        <v>215</v>
      </c>
      <c r="O360" s="139" t="s">
        <v>226</v>
      </c>
      <c r="P360" s="139"/>
    </row>
    <row r="361" spans="1:16" x14ac:dyDescent="0.2">
      <c r="A361" s="191"/>
      <c r="B361" s="120" t="s">
        <v>208</v>
      </c>
      <c r="C361" s="120" t="s">
        <v>208</v>
      </c>
      <c r="D361" s="120">
        <v>10.3</v>
      </c>
      <c r="E361" s="120" t="s">
        <v>208</v>
      </c>
      <c r="F361" s="120" t="s">
        <v>208</v>
      </c>
      <c r="G361" s="180" t="s">
        <v>59</v>
      </c>
      <c r="H361" s="180" t="s">
        <v>27</v>
      </c>
      <c r="I361" s="180" t="s">
        <v>27</v>
      </c>
      <c r="J361" s="180" t="s">
        <v>209</v>
      </c>
      <c r="K361" s="181" t="s">
        <v>5</v>
      </c>
      <c r="L361" s="120" t="s">
        <v>227</v>
      </c>
      <c r="M361" s="180" t="s">
        <v>220</v>
      </c>
      <c r="N361" s="180" t="s">
        <v>220</v>
      </c>
      <c r="O361" s="139" t="s">
        <v>5</v>
      </c>
      <c r="P361" s="139"/>
    </row>
    <row r="362" spans="1:16" x14ac:dyDescent="0.2">
      <c r="A362" s="191"/>
      <c r="B362" s="120">
        <v>0.2</v>
      </c>
      <c r="C362" s="120">
        <v>0.25</v>
      </c>
      <c r="D362" s="120">
        <v>10.3</v>
      </c>
      <c r="E362" s="120">
        <v>0</v>
      </c>
      <c r="F362" s="120">
        <v>0</v>
      </c>
      <c r="G362" s="180">
        <f>0.3*0.6*D362</f>
        <v>1.8540000000000001</v>
      </c>
      <c r="H362" s="180">
        <f>C362</f>
        <v>0.25</v>
      </c>
      <c r="I362" s="180">
        <f>D362</f>
        <v>10.3</v>
      </c>
      <c r="J362" s="180">
        <f>B362*C362*D362</f>
        <v>0.51500000000000001</v>
      </c>
      <c r="K362" s="181">
        <f>C362*2*D362</f>
        <v>5.15</v>
      </c>
      <c r="L362" s="189">
        <v>2</v>
      </c>
      <c r="M362" s="192">
        <f>C362*K362*3.28*0.668/2000</f>
        <v>1.410482E-3</v>
      </c>
      <c r="N362" s="192">
        <f>D362*L362*3.28*0.668/2000</f>
        <v>2.2567712E-2</v>
      </c>
      <c r="O362" s="139">
        <f>D362*0.55</f>
        <v>5.6650000000000009</v>
      </c>
      <c r="P362" s="139"/>
    </row>
    <row r="363" spans="1:16" x14ac:dyDescent="0.2">
      <c r="A363" s="111"/>
      <c r="D363" s="193"/>
      <c r="E363" s="193" t="s">
        <v>228</v>
      </c>
      <c r="F363" s="193" t="s">
        <v>228</v>
      </c>
      <c r="G363" s="193">
        <f>G358+G353+G349</f>
        <v>250.16639999999998</v>
      </c>
      <c r="H363" s="193">
        <f>H358+H353+H349</f>
        <v>-213.97599999999997</v>
      </c>
      <c r="I363" s="193">
        <f>I358+I353+I349</f>
        <v>215.47599999999997</v>
      </c>
      <c r="J363" s="193">
        <f>J362+J358+J353+J349</f>
        <v>35.205399999999997</v>
      </c>
      <c r="K363" s="194">
        <f>K362+K358+K353+K349</f>
        <v>208.26600000000002</v>
      </c>
      <c r="L363" s="195" t="s">
        <v>229</v>
      </c>
      <c r="M363" s="196" t="e">
        <f>#REF!+M353+#REF!+M358+#REF!+M362+#REF!</f>
        <v>#REF!</v>
      </c>
      <c r="N363" s="196" t="e">
        <f>#REF!+N353+#REF!+N358+#REF!+N362+#REF!</f>
        <v>#REF!</v>
      </c>
      <c r="O363" s="139"/>
      <c r="P363" s="139"/>
    </row>
    <row r="364" spans="1:16" x14ac:dyDescent="0.2">
      <c r="A364" s="111"/>
      <c r="D364" s="193"/>
      <c r="E364" s="193"/>
      <c r="F364" s="193"/>
      <c r="G364" s="193"/>
      <c r="H364" s="193"/>
      <c r="I364" s="193"/>
      <c r="J364" s="193"/>
      <c r="K364" s="194"/>
      <c r="L364" s="195"/>
      <c r="M364" s="196"/>
      <c r="N364" s="196"/>
      <c r="O364" s="139"/>
      <c r="P364" s="139"/>
    </row>
    <row r="365" spans="1:16" x14ac:dyDescent="0.2">
      <c r="A365" s="191"/>
      <c r="D365" s="193"/>
      <c r="E365" s="193"/>
      <c r="F365" s="193"/>
      <c r="G365" s="193">
        <f>G363+G341+G318</f>
        <v>558.1869999999999</v>
      </c>
      <c r="H365" s="193">
        <f>H363+H341+H318</f>
        <v>-475.97999999999996</v>
      </c>
      <c r="I365" s="193">
        <f>I363+I341+I318</f>
        <v>480.47999999999996</v>
      </c>
      <c r="J365" s="193">
        <f>J363+J341+J318</f>
        <v>78.931999999999988</v>
      </c>
      <c r="K365" s="194">
        <f>K363+K341+K318</f>
        <v>463.33000000000004</v>
      </c>
      <c r="L365" s="195"/>
      <c r="M365" s="196" t="e">
        <f>M363+M341+M318</f>
        <v>#REF!</v>
      </c>
      <c r="N365" s="196" t="e">
        <f>N363+N341+N318</f>
        <v>#REF!</v>
      </c>
      <c r="O365" s="139"/>
      <c r="P365" s="139"/>
    </row>
    <row r="366" spans="1:16" x14ac:dyDescent="0.2">
      <c r="A366" s="191"/>
      <c r="D366" s="193"/>
      <c r="E366" s="193"/>
      <c r="F366" s="193"/>
      <c r="G366" s="193"/>
      <c r="H366" s="193"/>
      <c r="I366" s="193"/>
      <c r="J366" s="193"/>
      <c r="K366" s="194"/>
      <c r="L366" s="195"/>
      <c r="M366" s="196"/>
      <c r="N366" s="196"/>
      <c r="O366" s="139"/>
      <c r="P366" s="139"/>
    </row>
    <row r="367" spans="1:16" x14ac:dyDescent="0.2">
      <c r="A367" s="191"/>
      <c r="D367" s="193"/>
      <c r="E367" s="193"/>
      <c r="F367" s="193"/>
      <c r="G367" s="193"/>
      <c r="H367" s="193"/>
      <c r="I367" s="193"/>
      <c r="J367" s="193"/>
      <c r="K367" s="194"/>
      <c r="L367" s="195"/>
      <c r="M367" s="196"/>
      <c r="N367" s="196"/>
      <c r="O367" s="139"/>
      <c r="P367" s="139"/>
    </row>
    <row r="368" spans="1:16" x14ac:dyDescent="0.2">
      <c r="A368" s="191"/>
      <c r="D368" s="193"/>
      <c r="E368" s="193"/>
      <c r="F368" s="193"/>
      <c r="G368" s="193"/>
      <c r="H368" s="193"/>
      <c r="I368" s="193"/>
      <c r="J368" s="193"/>
      <c r="K368" s="194"/>
      <c r="L368" s="195"/>
      <c r="M368" s="196"/>
      <c r="N368" s="196"/>
      <c r="O368" s="139"/>
      <c r="P368" s="139"/>
    </row>
    <row r="369" spans="1:16" x14ac:dyDescent="0.2">
      <c r="A369" s="191"/>
      <c r="D369" s="193"/>
      <c r="E369" s="193"/>
      <c r="F369" s="193"/>
      <c r="G369" s="193"/>
      <c r="H369" s="193"/>
      <c r="I369" s="193"/>
      <c r="J369" s="193"/>
      <c r="K369" s="194"/>
      <c r="L369" s="195"/>
      <c r="M369" s="196"/>
      <c r="N369" s="196"/>
      <c r="O369" s="139"/>
      <c r="P369" s="139"/>
    </row>
    <row r="370" spans="1:16" x14ac:dyDescent="0.2">
      <c r="A370" s="179"/>
    </row>
    <row r="371" spans="1:16" x14ac:dyDescent="0.2">
      <c r="A371" s="191" t="s">
        <v>240</v>
      </c>
      <c r="G371" s="180"/>
      <c r="H371" s="180"/>
      <c r="I371" s="180"/>
      <c r="J371" s="180"/>
      <c r="K371" s="181"/>
      <c r="L371" s="197"/>
      <c r="M371" s="192"/>
      <c r="N371" s="192"/>
      <c r="O371" s="139"/>
      <c r="P371" s="141"/>
    </row>
    <row r="372" spans="1:16" x14ac:dyDescent="0.2">
      <c r="A372" s="191" t="s">
        <v>232</v>
      </c>
      <c r="G372" s="180"/>
      <c r="H372" s="180"/>
      <c r="I372" s="180"/>
      <c r="J372" s="180"/>
      <c r="K372" s="181"/>
      <c r="O372" s="139"/>
      <c r="P372" s="139"/>
    </row>
    <row r="373" spans="1:16" x14ac:dyDescent="0.2">
      <c r="A373" s="191"/>
      <c r="B373" s="120" t="s">
        <v>198</v>
      </c>
      <c r="C373" s="120" t="s">
        <v>199</v>
      </c>
      <c r="D373" s="120" t="s">
        <v>200</v>
      </c>
      <c r="E373" s="120" t="s">
        <v>201</v>
      </c>
      <c r="F373" s="120" t="s">
        <v>201</v>
      </c>
      <c r="G373" s="180" t="s">
        <v>104</v>
      </c>
      <c r="H373" s="180" t="s">
        <v>202</v>
      </c>
      <c r="I373" s="180" t="s">
        <v>202</v>
      </c>
      <c r="J373" s="180" t="s">
        <v>203</v>
      </c>
      <c r="K373" s="181" t="s">
        <v>204</v>
      </c>
      <c r="L373" s="120" t="s">
        <v>205</v>
      </c>
      <c r="M373" s="120" t="s">
        <v>205</v>
      </c>
      <c r="N373" s="120" t="s">
        <v>205</v>
      </c>
      <c r="O373" s="139" t="s">
        <v>206</v>
      </c>
      <c r="P373" s="139"/>
    </row>
    <row r="374" spans="1:16" x14ac:dyDescent="0.2">
      <c r="A374" s="191" t="s">
        <v>207</v>
      </c>
      <c r="B374" s="120" t="s">
        <v>208</v>
      </c>
      <c r="C374" s="120" t="s">
        <v>208</v>
      </c>
      <c r="D374" s="120" t="s">
        <v>208</v>
      </c>
      <c r="E374" s="120" t="s">
        <v>208</v>
      </c>
      <c r="F374" s="120" t="s">
        <v>208</v>
      </c>
      <c r="G374" s="180" t="s">
        <v>59</v>
      </c>
      <c r="H374" s="180" t="s">
        <v>59</v>
      </c>
      <c r="I374" s="180" t="s">
        <v>59</v>
      </c>
      <c r="J374" s="180" t="s">
        <v>209</v>
      </c>
      <c r="K374" s="181" t="s">
        <v>5</v>
      </c>
      <c r="L374" s="120" t="s">
        <v>210</v>
      </c>
      <c r="M374" s="120" t="s">
        <v>211</v>
      </c>
      <c r="N374" s="120" t="s">
        <v>211</v>
      </c>
      <c r="O374" s="139"/>
      <c r="P374" s="139"/>
    </row>
    <row r="375" spans="1:16" x14ac:dyDescent="0.2">
      <c r="A375" s="191"/>
      <c r="B375" s="120">
        <v>1.2</v>
      </c>
      <c r="C375" s="120">
        <v>0.3</v>
      </c>
      <c r="D375" s="120">
        <v>18.54</v>
      </c>
      <c r="E375" s="120">
        <v>1.5</v>
      </c>
      <c r="F375" s="120">
        <v>1.5</v>
      </c>
      <c r="G375" s="180">
        <f>B375*D375*F375</f>
        <v>33.372</v>
      </c>
      <c r="H375" s="180">
        <f>F375-I375</f>
        <v>-25.197600000000001</v>
      </c>
      <c r="I375" s="180">
        <f>G375-J375</f>
        <v>26.697600000000001</v>
      </c>
      <c r="J375" s="180">
        <f>B375*C375*D375</f>
        <v>6.6743999999999994</v>
      </c>
      <c r="K375" s="181">
        <f>C375*2*D375</f>
        <v>11.123999999999999</v>
      </c>
      <c r="L375" s="189">
        <f>D375/0.4+1</f>
        <v>47.349999999999994</v>
      </c>
      <c r="M375" s="189">
        <f>A375/0.3+1</f>
        <v>1</v>
      </c>
      <c r="N375" s="189">
        <f>B375/0.3+1</f>
        <v>5</v>
      </c>
      <c r="O375" s="139"/>
      <c r="P375" s="139"/>
    </row>
    <row r="376" spans="1:16" x14ac:dyDescent="0.2">
      <c r="A376" s="191"/>
      <c r="B376" s="120">
        <v>0.25</v>
      </c>
      <c r="C376" s="120">
        <v>0.2</v>
      </c>
      <c r="D376" s="120">
        <v>18.54</v>
      </c>
      <c r="G376" s="180">
        <f>B376*C376*D376</f>
        <v>0.92700000000000005</v>
      </c>
      <c r="H376" s="180"/>
      <c r="I376" s="180"/>
      <c r="J376" s="180">
        <f>B376*C376*D376</f>
        <v>0.92700000000000005</v>
      </c>
      <c r="K376" s="181"/>
      <c r="O376" s="139"/>
      <c r="P376" s="139"/>
    </row>
    <row r="377" spans="1:16" x14ac:dyDescent="0.2">
      <c r="A377" s="191"/>
      <c r="G377" s="180">
        <f>SUM(G375:G376)</f>
        <v>34.298999999999999</v>
      </c>
      <c r="H377" s="180">
        <f>SUM(H375:H376)</f>
        <v>-25.197600000000001</v>
      </c>
      <c r="I377" s="180">
        <f>SUM(I375:I376)</f>
        <v>26.697600000000001</v>
      </c>
      <c r="J377" s="180">
        <f>SUM(J375:J376)</f>
        <v>7.6013999999999999</v>
      </c>
      <c r="K377" s="181">
        <f>SUM(K375:K376)</f>
        <v>11.123999999999999</v>
      </c>
      <c r="O377" s="139"/>
      <c r="P377" s="139"/>
    </row>
    <row r="378" spans="1:16" x14ac:dyDescent="0.2">
      <c r="A378" s="191"/>
      <c r="G378" s="180"/>
      <c r="H378" s="180"/>
      <c r="I378" s="180"/>
      <c r="J378" s="180"/>
      <c r="K378" s="181"/>
      <c r="O378" s="139" t="s">
        <v>213</v>
      </c>
      <c r="P378" s="139"/>
    </row>
    <row r="379" spans="1:16" x14ac:dyDescent="0.2">
      <c r="A379" s="191" t="s">
        <v>214</v>
      </c>
      <c r="B379" s="120" t="s">
        <v>198</v>
      </c>
      <c r="C379" s="120" t="s">
        <v>199</v>
      </c>
      <c r="D379" s="120" t="s">
        <v>200</v>
      </c>
      <c r="E379" s="120" t="s">
        <v>201</v>
      </c>
      <c r="F379" s="120" t="s">
        <v>201</v>
      </c>
      <c r="G379" s="180" t="s">
        <v>104</v>
      </c>
      <c r="H379" s="180" t="s">
        <v>202</v>
      </c>
      <c r="I379" s="180" t="s">
        <v>202</v>
      </c>
      <c r="J379" s="180" t="s">
        <v>203</v>
      </c>
      <c r="K379" s="181" t="s">
        <v>204</v>
      </c>
      <c r="L379" s="120" t="s">
        <v>205</v>
      </c>
      <c r="M379" s="180" t="s">
        <v>215</v>
      </c>
      <c r="N379" s="180" t="s">
        <v>215</v>
      </c>
      <c r="O379" s="139" t="s">
        <v>217</v>
      </c>
      <c r="P379" s="139" t="s">
        <v>218</v>
      </c>
    </row>
    <row r="380" spans="1:16" x14ac:dyDescent="0.2">
      <c r="A380" s="191"/>
      <c r="B380" s="120" t="s">
        <v>208</v>
      </c>
      <c r="C380" s="120" t="s">
        <v>208</v>
      </c>
      <c r="D380" s="120" t="s">
        <v>208</v>
      </c>
      <c r="E380" s="120" t="s">
        <v>208</v>
      </c>
      <c r="F380" s="120" t="s">
        <v>208</v>
      </c>
      <c r="G380" s="180" t="s">
        <v>59</v>
      </c>
      <c r="H380" s="180" t="s">
        <v>59</v>
      </c>
      <c r="I380" s="180" t="s">
        <v>59</v>
      </c>
      <c r="J380" s="180" t="s">
        <v>209</v>
      </c>
      <c r="K380" s="181" t="s">
        <v>5</v>
      </c>
      <c r="L380" s="120" t="s">
        <v>219</v>
      </c>
      <c r="M380" s="180" t="s">
        <v>220</v>
      </c>
      <c r="N380" s="180" t="s">
        <v>220</v>
      </c>
      <c r="O380" s="139" t="s">
        <v>5</v>
      </c>
      <c r="P380" s="139" t="s">
        <v>221</v>
      </c>
    </row>
    <row r="381" spans="1:16" x14ac:dyDescent="0.2">
      <c r="A381" s="191"/>
      <c r="B381" s="120">
        <v>0.3</v>
      </c>
      <c r="C381" s="120">
        <v>2.2999999999999998</v>
      </c>
      <c r="D381" s="120">
        <v>18.54</v>
      </c>
      <c r="G381" s="180">
        <f>(B381+2)*C381*D381</f>
        <v>98.076599999999985</v>
      </c>
      <c r="H381" s="180">
        <f>F381-I381</f>
        <v>-85.283999999999992</v>
      </c>
      <c r="I381" s="180">
        <f>G381-J381</f>
        <v>85.283999999999992</v>
      </c>
      <c r="J381" s="180">
        <f>B381*C381*D381</f>
        <v>12.792599999999998</v>
      </c>
      <c r="K381" s="181">
        <f>C381*2*D381</f>
        <v>85.283999999999992</v>
      </c>
      <c r="L381" s="189">
        <f>D381/0.2+1</f>
        <v>93.699999999999989</v>
      </c>
      <c r="M381" s="190">
        <f>(B381+0.7)*K381*3.28*2*0.668/2000</f>
        <v>0.18686065535999996</v>
      </c>
      <c r="N381" s="190">
        <f>(C381+0.7)*L381*3.28*2*0.668/2000</f>
        <v>0.61590134399999985</v>
      </c>
      <c r="O381" s="139" t="e">
        <f>#REF!</f>
        <v>#REF!</v>
      </c>
      <c r="P381" s="139">
        <v>2</v>
      </c>
    </row>
    <row r="382" spans="1:16" x14ac:dyDescent="0.2">
      <c r="A382" s="191"/>
      <c r="G382" s="180"/>
      <c r="H382" s="180"/>
      <c r="I382" s="180"/>
      <c r="J382" s="180"/>
      <c r="K382" s="181"/>
      <c r="O382" s="139"/>
      <c r="P382" s="139"/>
    </row>
    <row r="383" spans="1:16" x14ac:dyDescent="0.2">
      <c r="A383" s="191" t="s">
        <v>222</v>
      </c>
      <c r="B383" s="120" t="s">
        <v>198</v>
      </c>
      <c r="C383" s="120" t="s">
        <v>199</v>
      </c>
      <c r="D383" s="120" t="s">
        <v>200</v>
      </c>
      <c r="E383" s="120" t="s">
        <v>201</v>
      </c>
      <c r="F383" s="120" t="s">
        <v>201</v>
      </c>
      <c r="G383" s="180" t="s">
        <v>223</v>
      </c>
      <c r="H383" s="180" t="s">
        <v>224</v>
      </c>
      <c r="I383" s="180" t="s">
        <v>224</v>
      </c>
      <c r="J383" s="180" t="s">
        <v>203</v>
      </c>
      <c r="K383" s="181" t="s">
        <v>204</v>
      </c>
      <c r="L383" s="120" t="s">
        <v>205</v>
      </c>
      <c r="M383" s="180" t="s">
        <v>215</v>
      </c>
      <c r="N383" s="180" t="s">
        <v>215</v>
      </c>
      <c r="O383" s="139" t="s">
        <v>226</v>
      </c>
      <c r="P383" s="139"/>
    </row>
    <row r="384" spans="1:16" x14ac:dyDescent="0.2">
      <c r="A384" s="191"/>
      <c r="B384" s="120" t="s">
        <v>208</v>
      </c>
      <c r="C384" s="120" t="s">
        <v>208</v>
      </c>
      <c r="D384" s="120">
        <v>18.54</v>
      </c>
      <c r="E384" s="120" t="s">
        <v>208</v>
      </c>
      <c r="F384" s="120" t="s">
        <v>208</v>
      </c>
      <c r="G384" s="180" t="s">
        <v>59</v>
      </c>
      <c r="H384" s="180" t="s">
        <v>27</v>
      </c>
      <c r="I384" s="180" t="s">
        <v>27</v>
      </c>
      <c r="J384" s="180" t="s">
        <v>209</v>
      </c>
      <c r="K384" s="181" t="s">
        <v>5</v>
      </c>
      <c r="L384" s="120" t="s">
        <v>227</v>
      </c>
      <c r="M384" s="180" t="s">
        <v>220</v>
      </c>
      <c r="N384" s="180" t="s">
        <v>220</v>
      </c>
      <c r="O384" s="139" t="s">
        <v>5</v>
      </c>
      <c r="P384" s="139"/>
    </row>
    <row r="385" spans="1:16" x14ac:dyDescent="0.2">
      <c r="A385" s="191"/>
      <c r="B385" s="120">
        <v>0</v>
      </c>
      <c r="C385" s="120">
        <v>0</v>
      </c>
      <c r="D385" s="120">
        <v>18.54</v>
      </c>
      <c r="E385" s="120">
        <v>0</v>
      </c>
      <c r="F385" s="120">
        <v>0</v>
      </c>
      <c r="G385" s="180">
        <f>0.3*0.6*D385</f>
        <v>3.3371999999999997</v>
      </c>
      <c r="H385" s="180">
        <f>C385</f>
        <v>0</v>
      </c>
      <c r="I385" s="180">
        <f>D385</f>
        <v>18.54</v>
      </c>
      <c r="J385" s="180">
        <f>B385*C385*D385</f>
        <v>0</v>
      </c>
      <c r="K385" s="181">
        <f>C385*2*D385</f>
        <v>0</v>
      </c>
      <c r="L385" s="189">
        <v>2</v>
      </c>
      <c r="M385" s="192">
        <f>C385*K385*3.28*0.668/2000</f>
        <v>0</v>
      </c>
      <c r="N385" s="192">
        <f>D385*L385*3.28*0.668/2000</f>
        <v>4.0621881599999993E-2</v>
      </c>
      <c r="O385" s="139">
        <f>D385*0.55</f>
        <v>10.197000000000001</v>
      </c>
      <c r="P385" s="139"/>
    </row>
    <row r="386" spans="1:16" x14ac:dyDescent="0.2">
      <c r="A386" s="191"/>
      <c r="D386" s="193"/>
      <c r="E386" s="193" t="s">
        <v>228</v>
      </c>
      <c r="F386" s="193" t="s">
        <v>228</v>
      </c>
      <c r="G386" s="193">
        <f>G381+G377</f>
        <v>132.37559999999999</v>
      </c>
      <c r="H386" s="193">
        <f>H381+H377</f>
        <v>-110.48159999999999</v>
      </c>
      <c r="I386" s="193">
        <f>I381+I377</f>
        <v>111.98159999999999</v>
      </c>
      <c r="J386" s="193">
        <f>J385+J381+J377</f>
        <v>20.393999999999998</v>
      </c>
      <c r="K386" s="194">
        <f>K385+K381+K377</f>
        <v>96.407999999999987</v>
      </c>
      <c r="L386" s="195" t="s">
        <v>229</v>
      </c>
      <c r="M386" s="196" t="e">
        <f>#REF!+M381+#REF!+M385+#REF!</f>
        <v>#REF!</v>
      </c>
      <c r="N386" s="196" t="e">
        <f>#REF!+N381+#REF!+N385+#REF!</f>
        <v>#REF!</v>
      </c>
      <c r="O386" s="139"/>
      <c r="P386" s="139"/>
    </row>
    <row r="387" spans="1:16" x14ac:dyDescent="0.2">
      <c r="A387" s="179"/>
    </row>
    <row r="388" spans="1:16" x14ac:dyDescent="0.2">
      <c r="A388" s="191" t="s">
        <v>241</v>
      </c>
      <c r="G388" s="180"/>
      <c r="H388" s="180"/>
      <c r="I388" s="180"/>
      <c r="J388" s="180"/>
      <c r="K388" s="181"/>
      <c r="L388" s="197"/>
      <c r="M388" s="192"/>
      <c r="N388" s="192"/>
      <c r="O388" s="139"/>
      <c r="P388" s="141"/>
    </row>
    <row r="389" spans="1:16" x14ac:dyDescent="0.2">
      <c r="A389" s="191" t="s">
        <v>232</v>
      </c>
      <c r="G389" s="180"/>
      <c r="H389" s="180"/>
      <c r="I389" s="180"/>
      <c r="J389" s="180"/>
      <c r="K389" s="181"/>
      <c r="O389" s="139"/>
      <c r="P389" s="139"/>
    </row>
    <row r="390" spans="1:16" x14ac:dyDescent="0.2">
      <c r="A390" s="191"/>
      <c r="B390" s="120" t="s">
        <v>198</v>
      </c>
      <c r="C390" s="120" t="s">
        <v>199</v>
      </c>
      <c r="D390" s="120" t="s">
        <v>200</v>
      </c>
      <c r="E390" s="120" t="s">
        <v>201</v>
      </c>
      <c r="F390" s="120" t="s">
        <v>201</v>
      </c>
      <c r="G390" s="180" t="s">
        <v>104</v>
      </c>
      <c r="H390" s="180" t="s">
        <v>202</v>
      </c>
      <c r="I390" s="180" t="s">
        <v>202</v>
      </c>
      <c r="J390" s="180" t="s">
        <v>203</v>
      </c>
      <c r="K390" s="181" t="s">
        <v>204</v>
      </c>
      <c r="L390" s="120" t="s">
        <v>205</v>
      </c>
      <c r="M390" s="120" t="s">
        <v>205</v>
      </c>
      <c r="N390" s="120" t="s">
        <v>205</v>
      </c>
      <c r="O390" s="139" t="s">
        <v>206</v>
      </c>
      <c r="P390" s="139"/>
    </row>
    <row r="391" spans="1:16" x14ac:dyDescent="0.2">
      <c r="A391" s="191" t="s">
        <v>207</v>
      </c>
      <c r="B391" s="120" t="s">
        <v>208</v>
      </c>
      <c r="C391" s="120" t="s">
        <v>208</v>
      </c>
      <c r="D391" s="120" t="s">
        <v>208</v>
      </c>
      <c r="E391" s="120" t="s">
        <v>208</v>
      </c>
      <c r="F391" s="120" t="s">
        <v>208</v>
      </c>
      <c r="G391" s="180" t="s">
        <v>59</v>
      </c>
      <c r="H391" s="180" t="s">
        <v>59</v>
      </c>
      <c r="I391" s="180" t="s">
        <v>59</v>
      </c>
      <c r="J391" s="180" t="s">
        <v>209</v>
      </c>
      <c r="K391" s="181" t="s">
        <v>5</v>
      </c>
      <c r="L391" s="120" t="s">
        <v>210</v>
      </c>
      <c r="M391" s="120" t="s">
        <v>211</v>
      </c>
      <c r="N391" s="120" t="s">
        <v>211</v>
      </c>
      <c r="O391" s="139"/>
      <c r="P391" s="139"/>
    </row>
    <row r="392" spans="1:16" x14ac:dyDescent="0.2">
      <c r="A392" s="191"/>
      <c r="B392" s="120">
        <v>1.2</v>
      </c>
      <c r="C392" s="120">
        <v>0.3</v>
      </c>
      <c r="D392" s="120">
        <v>28.62</v>
      </c>
      <c r="E392" s="120">
        <v>1.5</v>
      </c>
      <c r="F392" s="120">
        <v>1.5</v>
      </c>
      <c r="G392" s="180">
        <f>B392*D392*F392</f>
        <v>51.516000000000005</v>
      </c>
      <c r="H392" s="180">
        <f>F392-I392</f>
        <v>-39.712800000000001</v>
      </c>
      <c r="I392" s="180">
        <f>G392-J392</f>
        <v>41.212800000000001</v>
      </c>
      <c r="J392" s="180">
        <f>B392*C392*D392</f>
        <v>10.3032</v>
      </c>
      <c r="K392" s="181">
        <f>C392*2*D392</f>
        <v>17.172000000000001</v>
      </c>
      <c r="L392" s="189">
        <f>D392/0.4+1</f>
        <v>72.55</v>
      </c>
      <c r="M392" s="189">
        <f>A392/0.3+1</f>
        <v>1</v>
      </c>
      <c r="N392" s="189">
        <f>B392/0.3+1</f>
        <v>5</v>
      </c>
      <c r="O392" s="139"/>
      <c r="P392" s="139"/>
    </row>
    <row r="393" spans="1:16" x14ac:dyDescent="0.2">
      <c r="A393" s="191"/>
      <c r="B393" s="120">
        <v>0.25</v>
      </c>
      <c r="C393" s="120">
        <v>0.2</v>
      </c>
      <c r="D393" s="120">
        <v>28.62</v>
      </c>
      <c r="G393" s="180">
        <f>B393*C393*D393</f>
        <v>1.431</v>
      </c>
      <c r="H393" s="180"/>
      <c r="I393" s="180"/>
      <c r="J393" s="180">
        <f>B393*C393*D393</f>
        <v>1.431</v>
      </c>
      <c r="K393" s="181"/>
      <c r="O393" s="139"/>
      <c r="P393" s="139"/>
    </row>
    <row r="394" spans="1:16" x14ac:dyDescent="0.2">
      <c r="A394" s="191"/>
      <c r="G394" s="180">
        <f>SUM(G392:G393)</f>
        <v>52.947000000000003</v>
      </c>
      <c r="H394" s="180">
        <f>SUM(H392:H393)</f>
        <v>-39.712800000000001</v>
      </c>
      <c r="I394" s="180">
        <f>SUM(I392:I393)</f>
        <v>41.212800000000001</v>
      </c>
      <c r="J394" s="180">
        <f>SUM(J392:J393)</f>
        <v>11.734200000000001</v>
      </c>
      <c r="K394" s="181">
        <f>SUM(K392:K393)</f>
        <v>17.172000000000001</v>
      </c>
      <c r="O394" s="139"/>
      <c r="P394" s="139"/>
    </row>
    <row r="395" spans="1:16" x14ac:dyDescent="0.2">
      <c r="A395" s="191"/>
      <c r="G395" s="180"/>
      <c r="H395" s="180"/>
      <c r="I395" s="180"/>
      <c r="J395" s="180"/>
      <c r="K395" s="181"/>
      <c r="O395" s="139" t="s">
        <v>213</v>
      </c>
      <c r="P395" s="139"/>
    </row>
    <row r="396" spans="1:16" x14ac:dyDescent="0.2">
      <c r="A396" s="191" t="s">
        <v>214</v>
      </c>
      <c r="B396" s="120" t="s">
        <v>198</v>
      </c>
      <c r="C396" s="120" t="s">
        <v>199</v>
      </c>
      <c r="D396" s="120" t="s">
        <v>200</v>
      </c>
      <c r="E396" s="120" t="s">
        <v>201</v>
      </c>
      <c r="F396" s="120" t="s">
        <v>201</v>
      </c>
      <c r="G396" s="180" t="s">
        <v>104</v>
      </c>
      <c r="H396" s="180" t="s">
        <v>202</v>
      </c>
      <c r="I396" s="180" t="s">
        <v>202</v>
      </c>
      <c r="J396" s="180" t="s">
        <v>203</v>
      </c>
      <c r="K396" s="181" t="s">
        <v>204</v>
      </c>
      <c r="L396" s="120" t="s">
        <v>205</v>
      </c>
      <c r="M396" s="180" t="s">
        <v>215</v>
      </c>
      <c r="N396" s="180" t="s">
        <v>215</v>
      </c>
      <c r="O396" s="139" t="s">
        <v>217</v>
      </c>
      <c r="P396" s="139" t="s">
        <v>218</v>
      </c>
    </row>
    <row r="397" spans="1:16" x14ac:dyDescent="0.2">
      <c r="A397" s="191"/>
      <c r="B397" s="120" t="s">
        <v>208</v>
      </c>
      <c r="C397" s="120" t="s">
        <v>208</v>
      </c>
      <c r="D397" s="120" t="s">
        <v>208</v>
      </c>
      <c r="E397" s="120" t="s">
        <v>208</v>
      </c>
      <c r="F397" s="120" t="s">
        <v>208</v>
      </c>
      <c r="G397" s="180" t="s">
        <v>59</v>
      </c>
      <c r="H397" s="180" t="s">
        <v>59</v>
      </c>
      <c r="I397" s="180" t="s">
        <v>59</v>
      </c>
      <c r="J397" s="180" t="s">
        <v>209</v>
      </c>
      <c r="K397" s="181" t="s">
        <v>5</v>
      </c>
      <c r="L397" s="120" t="s">
        <v>219</v>
      </c>
      <c r="M397" s="180" t="s">
        <v>220</v>
      </c>
      <c r="N397" s="180" t="s">
        <v>220</v>
      </c>
      <c r="O397" s="139" t="s">
        <v>5</v>
      </c>
      <c r="P397" s="139" t="s">
        <v>221</v>
      </c>
    </row>
    <row r="398" spans="1:16" x14ac:dyDescent="0.2">
      <c r="A398" s="191"/>
      <c r="B398" s="120">
        <v>0.3</v>
      </c>
      <c r="C398" s="120">
        <v>2.7</v>
      </c>
      <c r="D398" s="120">
        <v>28.62</v>
      </c>
      <c r="G398" s="180">
        <f>(B398+2)*C398*D398</f>
        <v>177.7302</v>
      </c>
      <c r="H398" s="180">
        <f>F398-I398</f>
        <v>-154.548</v>
      </c>
      <c r="I398" s="180">
        <f>G398-J398</f>
        <v>154.548</v>
      </c>
      <c r="J398" s="180">
        <f>B398*C398*D398</f>
        <v>23.182200000000002</v>
      </c>
      <c r="K398" s="181">
        <f>C398*2*D398</f>
        <v>154.548</v>
      </c>
      <c r="L398" s="189">
        <f>D398/0.2+1</f>
        <v>144.1</v>
      </c>
      <c r="M398" s="190">
        <f>(B398+0.7)*K398*3.28*2*0.668/2000</f>
        <v>0.33862084992000002</v>
      </c>
      <c r="N398" s="190">
        <f>(C398+0.7)*L398*3.28*2*0.668/2000</f>
        <v>1.0734781376</v>
      </c>
      <c r="O398" s="139" t="e">
        <f>#REF!</f>
        <v>#REF!</v>
      </c>
      <c r="P398" s="139">
        <v>2</v>
      </c>
    </row>
    <row r="399" spans="1:16" x14ac:dyDescent="0.2">
      <c r="A399" s="191"/>
      <c r="G399" s="180"/>
      <c r="H399" s="180"/>
      <c r="I399" s="180"/>
      <c r="J399" s="180"/>
      <c r="K399" s="181"/>
      <c r="O399" s="139"/>
      <c r="P399" s="139"/>
    </row>
    <row r="400" spans="1:16" x14ac:dyDescent="0.2">
      <c r="A400" s="191" t="s">
        <v>222</v>
      </c>
      <c r="B400" s="120" t="s">
        <v>198</v>
      </c>
      <c r="C400" s="120" t="s">
        <v>199</v>
      </c>
      <c r="D400" s="120" t="s">
        <v>200</v>
      </c>
      <c r="E400" s="120" t="s">
        <v>201</v>
      </c>
      <c r="F400" s="120" t="s">
        <v>201</v>
      </c>
      <c r="G400" s="180" t="s">
        <v>223</v>
      </c>
      <c r="H400" s="180" t="s">
        <v>224</v>
      </c>
      <c r="I400" s="180" t="s">
        <v>224</v>
      </c>
      <c r="J400" s="180" t="s">
        <v>203</v>
      </c>
      <c r="K400" s="181" t="s">
        <v>204</v>
      </c>
      <c r="L400" s="120" t="s">
        <v>205</v>
      </c>
      <c r="M400" s="180" t="s">
        <v>215</v>
      </c>
      <c r="N400" s="180" t="s">
        <v>215</v>
      </c>
      <c r="O400" s="139" t="s">
        <v>226</v>
      </c>
      <c r="P400" s="139"/>
    </row>
    <row r="401" spans="1:16" x14ac:dyDescent="0.2">
      <c r="A401" s="191"/>
      <c r="B401" s="120" t="s">
        <v>208</v>
      </c>
      <c r="C401" s="120" t="s">
        <v>208</v>
      </c>
      <c r="D401" s="120">
        <v>28.62</v>
      </c>
      <c r="E401" s="120" t="s">
        <v>208</v>
      </c>
      <c r="F401" s="120" t="s">
        <v>208</v>
      </c>
      <c r="G401" s="180" t="s">
        <v>59</v>
      </c>
      <c r="H401" s="180" t="s">
        <v>27</v>
      </c>
      <c r="I401" s="180" t="s">
        <v>27</v>
      </c>
      <c r="J401" s="180" t="s">
        <v>209</v>
      </c>
      <c r="K401" s="181" t="s">
        <v>5</v>
      </c>
      <c r="L401" s="120" t="s">
        <v>227</v>
      </c>
      <c r="M401" s="180" t="s">
        <v>220</v>
      </c>
      <c r="N401" s="180" t="s">
        <v>220</v>
      </c>
      <c r="O401" s="139" t="s">
        <v>5</v>
      </c>
      <c r="P401" s="139"/>
    </row>
    <row r="402" spans="1:16" x14ac:dyDescent="0.2">
      <c r="A402" s="191"/>
      <c r="B402" s="120">
        <v>0</v>
      </c>
      <c r="C402" s="120">
        <v>0</v>
      </c>
      <c r="D402" s="120">
        <v>28.62</v>
      </c>
      <c r="E402" s="120">
        <v>0</v>
      </c>
      <c r="F402" s="120">
        <v>0</v>
      </c>
      <c r="G402" s="180">
        <f>0.3*0.6*D402</f>
        <v>5.1516000000000002</v>
      </c>
      <c r="H402" s="180">
        <f>C402</f>
        <v>0</v>
      </c>
      <c r="I402" s="180">
        <f>D402</f>
        <v>28.62</v>
      </c>
      <c r="J402" s="180">
        <f>B402*C402*D402</f>
        <v>0</v>
      </c>
      <c r="K402" s="181">
        <f>C402*2*D402</f>
        <v>0</v>
      </c>
      <c r="L402" s="189">
        <v>2</v>
      </c>
      <c r="M402" s="192">
        <f>C402*K402*3.28*0.668/2000</f>
        <v>0</v>
      </c>
      <c r="N402" s="192">
        <f>D402*L402*3.28*0.668/2000</f>
        <v>6.2707564800000004E-2</v>
      </c>
      <c r="O402" s="139">
        <f>D402*0.55</f>
        <v>15.741000000000001</v>
      </c>
      <c r="P402" s="139"/>
    </row>
    <row r="403" spans="1:16" x14ac:dyDescent="0.2">
      <c r="A403" s="191"/>
      <c r="D403" s="193"/>
      <c r="E403" s="193" t="s">
        <v>228</v>
      </c>
      <c r="F403" s="193" t="s">
        <v>228</v>
      </c>
      <c r="G403" s="193">
        <f>G398+G394</f>
        <v>230.6772</v>
      </c>
      <c r="H403" s="193">
        <f>H398+H394</f>
        <v>-194.26080000000002</v>
      </c>
      <c r="I403" s="193">
        <f>I398+I394</f>
        <v>195.76080000000002</v>
      </c>
      <c r="J403" s="193">
        <f>J402+J398+J394</f>
        <v>34.916400000000003</v>
      </c>
      <c r="K403" s="194">
        <f>K402+K398+K394</f>
        <v>171.72</v>
      </c>
      <c r="L403" s="195" t="s">
        <v>229</v>
      </c>
      <c r="M403" s="196" t="e">
        <f>#REF!+M398+#REF!+M402+#REF!</f>
        <v>#REF!</v>
      </c>
      <c r="N403" s="196" t="e">
        <f>#REF!+N398+#REF!+N402+#REF!</f>
        <v>#REF!</v>
      </c>
      <c r="O403" s="139"/>
      <c r="P403" s="139"/>
    </row>
    <row r="404" spans="1:16" x14ac:dyDescent="0.2">
      <c r="A404" s="191"/>
      <c r="D404" s="193"/>
      <c r="E404" s="193"/>
      <c r="F404" s="193"/>
      <c r="G404" s="193"/>
      <c r="H404" s="193"/>
      <c r="I404" s="193"/>
      <c r="J404" s="193"/>
      <c r="K404" s="194"/>
      <c r="L404" s="195"/>
      <c r="M404" s="196"/>
      <c r="N404" s="196"/>
      <c r="O404" s="139"/>
      <c r="P404" s="139"/>
    </row>
    <row r="405" spans="1:16" x14ac:dyDescent="0.2">
      <c r="A405" s="191"/>
      <c r="D405" s="193"/>
      <c r="E405" s="193"/>
      <c r="F405" s="193"/>
      <c r="G405" s="193"/>
      <c r="H405" s="193"/>
      <c r="I405" s="193"/>
      <c r="J405" s="193"/>
      <c r="K405" s="194"/>
      <c r="L405" s="195"/>
      <c r="M405" s="196"/>
      <c r="N405" s="196"/>
      <c r="O405" s="139"/>
      <c r="P405" s="139"/>
    </row>
    <row r="406" spans="1:16" x14ac:dyDescent="0.2">
      <c r="A406" s="191" t="s">
        <v>241</v>
      </c>
      <c r="G406" s="180"/>
      <c r="H406" s="180"/>
      <c r="I406" s="180"/>
      <c r="J406" s="180"/>
      <c r="K406" s="181"/>
      <c r="L406" s="197"/>
      <c r="M406" s="192"/>
      <c r="N406" s="192"/>
      <c r="O406" s="139"/>
      <c r="P406" s="141"/>
    </row>
    <row r="407" spans="1:16" x14ac:dyDescent="0.2">
      <c r="A407" s="191" t="s">
        <v>232</v>
      </c>
      <c r="G407" s="180"/>
      <c r="H407" s="180"/>
      <c r="I407" s="180"/>
      <c r="J407" s="180"/>
      <c r="K407" s="181"/>
      <c r="O407" s="139"/>
      <c r="P407" s="139"/>
    </row>
    <row r="408" spans="1:16" x14ac:dyDescent="0.2">
      <c r="A408" s="191"/>
      <c r="B408" s="120" t="s">
        <v>198</v>
      </c>
      <c r="C408" s="120" t="s">
        <v>199</v>
      </c>
      <c r="D408" s="120" t="s">
        <v>200</v>
      </c>
      <c r="E408" s="120" t="s">
        <v>201</v>
      </c>
      <c r="F408" s="120" t="s">
        <v>201</v>
      </c>
      <c r="G408" s="180" t="s">
        <v>104</v>
      </c>
      <c r="H408" s="180" t="s">
        <v>202</v>
      </c>
      <c r="I408" s="180" t="s">
        <v>202</v>
      </c>
      <c r="J408" s="180" t="s">
        <v>203</v>
      </c>
      <c r="K408" s="181" t="s">
        <v>204</v>
      </c>
      <c r="L408" s="120" t="s">
        <v>205</v>
      </c>
      <c r="M408" s="120" t="s">
        <v>205</v>
      </c>
      <c r="N408" s="120" t="s">
        <v>205</v>
      </c>
      <c r="O408" s="139" t="s">
        <v>206</v>
      </c>
      <c r="P408" s="139"/>
    </row>
    <row r="409" spans="1:16" x14ac:dyDescent="0.2">
      <c r="A409" s="191" t="s">
        <v>207</v>
      </c>
      <c r="B409" s="120" t="s">
        <v>208</v>
      </c>
      <c r="C409" s="120" t="s">
        <v>208</v>
      </c>
      <c r="D409" s="120" t="s">
        <v>208</v>
      </c>
      <c r="E409" s="120" t="s">
        <v>208</v>
      </c>
      <c r="F409" s="120" t="s">
        <v>208</v>
      </c>
      <c r="G409" s="180" t="s">
        <v>59</v>
      </c>
      <c r="H409" s="180" t="s">
        <v>59</v>
      </c>
      <c r="I409" s="180" t="s">
        <v>59</v>
      </c>
      <c r="J409" s="180" t="s">
        <v>209</v>
      </c>
      <c r="K409" s="181" t="s">
        <v>5</v>
      </c>
      <c r="L409" s="120" t="s">
        <v>210</v>
      </c>
      <c r="M409" s="120" t="s">
        <v>211</v>
      </c>
      <c r="N409" s="120" t="s">
        <v>211</v>
      </c>
      <c r="O409" s="139"/>
      <c r="P409" s="139"/>
    </row>
    <row r="410" spans="1:16" x14ac:dyDescent="0.2">
      <c r="A410" s="191"/>
      <c r="B410" s="120">
        <v>1.2</v>
      </c>
      <c r="C410" s="120">
        <v>0.3</v>
      </c>
      <c r="D410" s="120">
        <v>21.65</v>
      </c>
      <c r="E410" s="120">
        <v>1.5</v>
      </c>
      <c r="F410" s="120">
        <v>1.5</v>
      </c>
      <c r="G410" s="180">
        <f>B410*D410*F410</f>
        <v>38.97</v>
      </c>
      <c r="H410" s="180">
        <f>F410-I410</f>
        <v>-29.675999999999998</v>
      </c>
      <c r="I410" s="180">
        <f>G410-J410</f>
        <v>31.175999999999998</v>
      </c>
      <c r="J410" s="180">
        <f>B410*C410*D410</f>
        <v>7.7939999999999996</v>
      </c>
      <c r="K410" s="181">
        <f>C410*2*D410</f>
        <v>12.989999999999998</v>
      </c>
      <c r="L410" s="189">
        <f>D410/0.4+1</f>
        <v>55.124999999999993</v>
      </c>
      <c r="M410" s="189">
        <f>A410/0.3+1</f>
        <v>1</v>
      </c>
      <c r="N410" s="189">
        <f>B410/0.3+1</f>
        <v>5</v>
      </c>
      <c r="O410" s="139"/>
      <c r="P410" s="139"/>
    </row>
    <row r="411" spans="1:16" x14ac:dyDescent="0.2">
      <c r="A411" s="191"/>
      <c r="B411" s="120">
        <v>0.25</v>
      </c>
      <c r="C411" s="120">
        <v>0.2</v>
      </c>
      <c r="D411" s="120">
        <v>21.65</v>
      </c>
      <c r="G411" s="180">
        <f>B411*C411*D411</f>
        <v>1.0825</v>
      </c>
      <c r="H411" s="180"/>
      <c r="I411" s="180"/>
      <c r="J411" s="180">
        <f>B411*C411*D411</f>
        <v>1.0825</v>
      </c>
      <c r="K411" s="181"/>
      <c r="O411" s="139"/>
      <c r="P411" s="139"/>
    </row>
    <row r="412" spans="1:16" x14ac:dyDescent="0.2">
      <c r="A412" s="191"/>
      <c r="G412" s="180">
        <f>SUM(G410:G411)</f>
        <v>40.052500000000002</v>
      </c>
      <c r="H412" s="180">
        <f>SUM(H410:H411)</f>
        <v>-29.675999999999998</v>
      </c>
      <c r="I412" s="180">
        <f>SUM(I410:I411)</f>
        <v>31.175999999999998</v>
      </c>
      <c r="J412" s="180">
        <f>SUM(J410:J411)</f>
        <v>8.8765000000000001</v>
      </c>
      <c r="K412" s="181">
        <f>SUM(K410:K411)</f>
        <v>12.989999999999998</v>
      </c>
      <c r="O412" s="139"/>
      <c r="P412" s="139"/>
    </row>
    <row r="413" spans="1:16" x14ac:dyDescent="0.2">
      <c r="A413" s="191"/>
      <c r="G413" s="180"/>
      <c r="H413" s="180"/>
      <c r="I413" s="180"/>
      <c r="J413" s="180"/>
      <c r="K413" s="181"/>
      <c r="O413" s="139" t="s">
        <v>213</v>
      </c>
      <c r="P413" s="139"/>
    </row>
    <row r="414" spans="1:16" x14ac:dyDescent="0.2">
      <c r="A414" s="191" t="s">
        <v>214</v>
      </c>
      <c r="B414" s="120" t="s">
        <v>198</v>
      </c>
      <c r="C414" s="120" t="s">
        <v>199</v>
      </c>
      <c r="D414" s="120" t="s">
        <v>200</v>
      </c>
      <c r="E414" s="120" t="s">
        <v>201</v>
      </c>
      <c r="F414" s="120" t="s">
        <v>201</v>
      </c>
      <c r="G414" s="180" t="s">
        <v>104</v>
      </c>
      <c r="H414" s="180" t="s">
        <v>202</v>
      </c>
      <c r="I414" s="180" t="s">
        <v>202</v>
      </c>
      <c r="J414" s="180" t="s">
        <v>203</v>
      </c>
      <c r="K414" s="181" t="s">
        <v>204</v>
      </c>
      <c r="L414" s="120" t="s">
        <v>205</v>
      </c>
      <c r="M414" s="180" t="s">
        <v>215</v>
      </c>
      <c r="N414" s="180" t="s">
        <v>215</v>
      </c>
      <c r="O414" s="139" t="s">
        <v>217</v>
      </c>
      <c r="P414" s="139" t="s">
        <v>218</v>
      </c>
    </row>
    <row r="415" spans="1:16" x14ac:dyDescent="0.2">
      <c r="A415" s="191"/>
      <c r="B415" s="120" t="s">
        <v>208</v>
      </c>
      <c r="C415" s="120" t="s">
        <v>208</v>
      </c>
      <c r="D415" s="120" t="s">
        <v>208</v>
      </c>
      <c r="E415" s="120" t="s">
        <v>208</v>
      </c>
      <c r="F415" s="120" t="s">
        <v>208</v>
      </c>
      <c r="G415" s="180" t="s">
        <v>59</v>
      </c>
      <c r="H415" s="180" t="s">
        <v>59</v>
      </c>
      <c r="I415" s="180" t="s">
        <v>59</v>
      </c>
      <c r="J415" s="180" t="s">
        <v>209</v>
      </c>
      <c r="K415" s="181" t="s">
        <v>5</v>
      </c>
      <c r="L415" s="120" t="s">
        <v>219</v>
      </c>
      <c r="M415" s="180" t="s">
        <v>220</v>
      </c>
      <c r="N415" s="180" t="s">
        <v>220</v>
      </c>
      <c r="O415" s="139" t="s">
        <v>5</v>
      </c>
      <c r="P415" s="139" t="s">
        <v>221</v>
      </c>
    </row>
    <row r="416" spans="1:16" x14ac:dyDescent="0.2">
      <c r="A416" s="191"/>
      <c r="B416" s="120">
        <v>0.3</v>
      </c>
      <c r="C416" s="120">
        <v>5.9</v>
      </c>
      <c r="D416" s="120">
        <v>21.65</v>
      </c>
      <c r="G416" s="180">
        <f>(B416+2)*C416*D416</f>
        <v>293.79050000000001</v>
      </c>
      <c r="H416" s="180">
        <f>F416-I416</f>
        <v>-255.47000000000003</v>
      </c>
      <c r="I416" s="180">
        <f>G416-J416</f>
        <v>255.47000000000003</v>
      </c>
      <c r="J416" s="180">
        <f>B416*C416*D416</f>
        <v>38.320499999999996</v>
      </c>
      <c r="K416" s="181">
        <f>C416*2*D416</f>
        <v>255.47</v>
      </c>
      <c r="L416" s="189">
        <f>D416/0.2+1</f>
        <v>109.24999999999999</v>
      </c>
      <c r="M416" s="190">
        <f>(B416+0.7)*K416*3.28*2*0.668/2000</f>
        <v>0.55974498880000001</v>
      </c>
      <c r="N416" s="190">
        <f>(C416+0.7)*L416*3.28*2*0.668/2000</f>
        <v>1.5798493920000001</v>
      </c>
      <c r="O416" s="139" t="e">
        <f>#REF!</f>
        <v>#REF!</v>
      </c>
      <c r="P416" s="139">
        <v>2</v>
      </c>
    </row>
    <row r="417" spans="1:16" x14ac:dyDescent="0.2">
      <c r="A417" s="191"/>
      <c r="G417" s="180"/>
      <c r="H417" s="180"/>
      <c r="I417" s="180"/>
      <c r="J417" s="180"/>
      <c r="K417" s="181"/>
      <c r="O417" s="139"/>
      <c r="P417" s="139"/>
    </row>
    <row r="418" spans="1:16" x14ac:dyDescent="0.2">
      <c r="A418" s="191" t="s">
        <v>222</v>
      </c>
      <c r="B418" s="120" t="s">
        <v>198</v>
      </c>
      <c r="C418" s="120" t="s">
        <v>199</v>
      </c>
      <c r="D418" s="120" t="s">
        <v>200</v>
      </c>
      <c r="E418" s="120" t="s">
        <v>201</v>
      </c>
      <c r="F418" s="120" t="s">
        <v>201</v>
      </c>
      <c r="G418" s="180" t="s">
        <v>223</v>
      </c>
      <c r="H418" s="180" t="s">
        <v>224</v>
      </c>
      <c r="I418" s="180" t="s">
        <v>224</v>
      </c>
      <c r="J418" s="180" t="s">
        <v>203</v>
      </c>
      <c r="K418" s="181" t="s">
        <v>204</v>
      </c>
      <c r="L418" s="120" t="s">
        <v>205</v>
      </c>
      <c r="M418" s="180" t="s">
        <v>215</v>
      </c>
      <c r="N418" s="180" t="s">
        <v>215</v>
      </c>
      <c r="O418" s="139" t="s">
        <v>226</v>
      </c>
      <c r="P418" s="139"/>
    </row>
    <row r="419" spans="1:16" x14ac:dyDescent="0.2">
      <c r="A419" s="191"/>
      <c r="B419" s="120" t="s">
        <v>208</v>
      </c>
      <c r="C419" s="120" t="s">
        <v>208</v>
      </c>
      <c r="D419" s="120">
        <v>21.65</v>
      </c>
      <c r="E419" s="120" t="s">
        <v>208</v>
      </c>
      <c r="F419" s="120" t="s">
        <v>208</v>
      </c>
      <c r="G419" s="180" t="s">
        <v>59</v>
      </c>
      <c r="H419" s="180" t="s">
        <v>27</v>
      </c>
      <c r="I419" s="180" t="s">
        <v>27</v>
      </c>
      <c r="J419" s="180" t="s">
        <v>209</v>
      </c>
      <c r="K419" s="181" t="s">
        <v>5</v>
      </c>
      <c r="L419" s="120" t="s">
        <v>227</v>
      </c>
      <c r="M419" s="180" t="s">
        <v>220</v>
      </c>
      <c r="N419" s="180" t="s">
        <v>220</v>
      </c>
      <c r="O419" s="139" t="s">
        <v>5</v>
      </c>
      <c r="P419" s="139"/>
    </row>
    <row r="420" spans="1:16" x14ac:dyDescent="0.2">
      <c r="A420" s="191"/>
      <c r="B420" s="120">
        <v>0</v>
      </c>
      <c r="C420" s="120">
        <v>0</v>
      </c>
      <c r="D420" s="120">
        <v>21.65</v>
      </c>
      <c r="E420" s="120">
        <v>0</v>
      </c>
      <c r="F420" s="120">
        <v>0</v>
      </c>
      <c r="G420" s="180">
        <f>0.3*0.6*D420</f>
        <v>3.8969999999999998</v>
      </c>
      <c r="H420" s="180">
        <f>C420</f>
        <v>0</v>
      </c>
      <c r="I420" s="180">
        <f>D420</f>
        <v>21.65</v>
      </c>
      <c r="J420" s="180">
        <f>B420*C420*D420</f>
        <v>0</v>
      </c>
      <c r="K420" s="181">
        <f>C420*2*D420</f>
        <v>0</v>
      </c>
      <c r="L420" s="189">
        <v>2</v>
      </c>
      <c r="M420" s="192">
        <f>C420*K420*3.28*0.668/2000</f>
        <v>0</v>
      </c>
      <c r="N420" s="192">
        <f>D420*L420*3.28*0.668/2000</f>
        <v>4.7436015999999998E-2</v>
      </c>
      <c r="O420" s="139">
        <f>D420*0.55</f>
        <v>11.907500000000001</v>
      </c>
      <c r="P420" s="139"/>
    </row>
    <row r="421" spans="1:16" x14ac:dyDescent="0.2">
      <c r="A421" s="191"/>
      <c r="D421" s="193"/>
      <c r="E421" s="193" t="s">
        <v>228</v>
      </c>
      <c r="F421" s="193" t="s">
        <v>228</v>
      </c>
      <c r="G421" s="193">
        <f>G416+G412</f>
        <v>333.84300000000002</v>
      </c>
      <c r="H421" s="193">
        <f>H416+H412</f>
        <v>-285.14600000000002</v>
      </c>
      <c r="I421" s="193">
        <f>I416+I412</f>
        <v>286.64600000000002</v>
      </c>
      <c r="J421" s="193">
        <f>J420+J416+J412</f>
        <v>47.196999999999996</v>
      </c>
      <c r="K421" s="194">
        <f>K420+K416+K412</f>
        <v>268.45999999999998</v>
      </c>
      <c r="L421" s="195" t="s">
        <v>229</v>
      </c>
      <c r="M421" s="196" t="e">
        <f>#REF!+M416+#REF!+M420+#REF!</f>
        <v>#REF!</v>
      </c>
      <c r="N421" s="196" t="e">
        <f>#REF!+N416+#REF!+N420+#REF!</f>
        <v>#REF!</v>
      </c>
      <c r="O421" s="139"/>
      <c r="P421" s="139"/>
    </row>
    <row r="422" spans="1:16" x14ac:dyDescent="0.2">
      <c r="A422" s="191"/>
      <c r="D422" s="193"/>
      <c r="E422" s="193"/>
      <c r="F422" s="193"/>
      <c r="G422" s="193"/>
      <c r="H422" s="193"/>
      <c r="I422" s="193"/>
      <c r="J422" s="193"/>
      <c r="K422" s="194"/>
      <c r="L422" s="195"/>
      <c r="M422" s="196"/>
      <c r="N422" s="196"/>
      <c r="O422" s="139"/>
      <c r="P422" s="139"/>
    </row>
    <row r="423" spans="1:16" x14ac:dyDescent="0.2">
      <c r="A423" s="191" t="s">
        <v>242</v>
      </c>
      <c r="G423" s="180"/>
      <c r="H423" s="180"/>
      <c r="I423" s="180"/>
      <c r="J423" s="180"/>
      <c r="K423" s="181"/>
      <c r="L423" s="197"/>
      <c r="M423" s="192"/>
      <c r="N423" s="192"/>
      <c r="O423" s="139"/>
      <c r="P423" s="141"/>
    </row>
    <row r="424" spans="1:16" x14ac:dyDescent="0.2">
      <c r="A424" s="191" t="s">
        <v>232</v>
      </c>
      <c r="G424" s="180"/>
      <c r="H424" s="180"/>
      <c r="I424" s="180"/>
      <c r="J424" s="180"/>
      <c r="K424" s="181"/>
      <c r="O424" s="139"/>
      <c r="P424" s="139"/>
    </row>
    <row r="425" spans="1:16" x14ac:dyDescent="0.2">
      <c r="A425" s="191"/>
      <c r="B425" s="120" t="s">
        <v>198</v>
      </c>
      <c r="C425" s="120" t="s">
        <v>199</v>
      </c>
      <c r="D425" s="120" t="s">
        <v>200</v>
      </c>
      <c r="E425" s="120" t="s">
        <v>201</v>
      </c>
      <c r="F425" s="120" t="s">
        <v>201</v>
      </c>
      <c r="G425" s="180" t="s">
        <v>104</v>
      </c>
      <c r="H425" s="180" t="s">
        <v>202</v>
      </c>
      <c r="I425" s="180" t="s">
        <v>202</v>
      </c>
      <c r="J425" s="180" t="s">
        <v>203</v>
      </c>
      <c r="K425" s="181" t="s">
        <v>204</v>
      </c>
      <c r="L425" s="120" t="s">
        <v>205</v>
      </c>
      <c r="M425" s="120" t="s">
        <v>205</v>
      </c>
      <c r="N425" s="120" t="s">
        <v>205</v>
      </c>
      <c r="O425" s="139" t="s">
        <v>206</v>
      </c>
      <c r="P425" s="139"/>
    </row>
    <row r="426" spans="1:16" x14ac:dyDescent="0.2">
      <c r="A426" s="191" t="s">
        <v>207</v>
      </c>
      <c r="B426" s="120" t="s">
        <v>208</v>
      </c>
      <c r="C426" s="120" t="s">
        <v>208</v>
      </c>
      <c r="D426" s="120" t="s">
        <v>208</v>
      </c>
      <c r="E426" s="120" t="s">
        <v>208</v>
      </c>
      <c r="F426" s="120" t="s">
        <v>208</v>
      </c>
      <c r="G426" s="180" t="s">
        <v>59</v>
      </c>
      <c r="H426" s="180" t="s">
        <v>59</v>
      </c>
      <c r="I426" s="180" t="s">
        <v>59</v>
      </c>
      <c r="J426" s="180" t="s">
        <v>209</v>
      </c>
      <c r="K426" s="181" t="s">
        <v>5</v>
      </c>
      <c r="L426" s="120" t="s">
        <v>210</v>
      </c>
      <c r="M426" s="120" t="s">
        <v>211</v>
      </c>
      <c r="N426" s="120" t="s">
        <v>211</v>
      </c>
      <c r="O426" s="139"/>
      <c r="P426" s="139"/>
    </row>
    <row r="427" spans="1:16" x14ac:dyDescent="0.2">
      <c r="A427" s="191"/>
      <c r="B427" s="120">
        <v>1.2</v>
      </c>
      <c r="C427" s="120">
        <v>0.3</v>
      </c>
      <c r="D427" s="120">
        <v>16.14</v>
      </c>
      <c r="E427" s="120">
        <v>1.5</v>
      </c>
      <c r="F427" s="120">
        <v>1.5</v>
      </c>
      <c r="G427" s="180">
        <f>B427*D427*F427</f>
        <v>29.052</v>
      </c>
      <c r="H427" s="180">
        <f>F427-I427</f>
        <v>-21.741599999999998</v>
      </c>
      <c r="I427" s="180">
        <f>G427-J427</f>
        <v>23.241599999999998</v>
      </c>
      <c r="J427" s="180">
        <f>B427*C427*D427</f>
        <v>5.8103999999999996</v>
      </c>
      <c r="K427" s="181">
        <f>C427*2*D427</f>
        <v>9.6839999999999993</v>
      </c>
      <c r="L427" s="189">
        <f>D427/0.4+1</f>
        <v>41.35</v>
      </c>
      <c r="M427" s="189">
        <f>A427/0.3+1</f>
        <v>1</v>
      </c>
      <c r="N427" s="189">
        <f>B427/0.3+1</f>
        <v>5</v>
      </c>
      <c r="O427" s="139"/>
      <c r="P427" s="139"/>
    </row>
    <row r="428" spans="1:16" x14ac:dyDescent="0.2">
      <c r="A428" s="191"/>
      <c r="B428" s="120">
        <v>0.25</v>
      </c>
      <c r="C428" s="120">
        <v>0.2</v>
      </c>
      <c r="D428" s="120">
        <v>16.14</v>
      </c>
      <c r="G428" s="180">
        <f>B428*C428*D428</f>
        <v>0.80700000000000005</v>
      </c>
      <c r="H428" s="180"/>
      <c r="I428" s="180"/>
      <c r="J428" s="180">
        <f>B428*C428*D428</f>
        <v>0.80700000000000005</v>
      </c>
      <c r="K428" s="181"/>
      <c r="O428" s="139"/>
      <c r="P428" s="139"/>
    </row>
    <row r="429" spans="1:16" x14ac:dyDescent="0.2">
      <c r="A429" s="191"/>
      <c r="G429" s="180">
        <f>SUM(G427:G428)</f>
        <v>29.858999999999998</v>
      </c>
      <c r="H429" s="180">
        <f>SUM(H427:H428)</f>
        <v>-21.741599999999998</v>
      </c>
      <c r="I429" s="180">
        <f>SUM(I427:I428)</f>
        <v>23.241599999999998</v>
      </c>
      <c r="J429" s="180">
        <f>SUM(J427:J428)</f>
        <v>6.6173999999999999</v>
      </c>
      <c r="K429" s="181">
        <f>SUM(K427:K428)</f>
        <v>9.6839999999999993</v>
      </c>
      <c r="O429" s="139"/>
      <c r="P429" s="139"/>
    </row>
    <row r="430" spans="1:16" x14ac:dyDescent="0.2">
      <c r="A430" s="191"/>
      <c r="G430" s="180"/>
      <c r="H430" s="180"/>
      <c r="I430" s="180"/>
      <c r="J430" s="180"/>
      <c r="K430" s="181"/>
      <c r="O430" s="139" t="s">
        <v>213</v>
      </c>
      <c r="P430" s="139"/>
    </row>
    <row r="431" spans="1:16" x14ac:dyDescent="0.2">
      <c r="A431" s="191" t="s">
        <v>214</v>
      </c>
      <c r="B431" s="120" t="s">
        <v>198</v>
      </c>
      <c r="C431" s="120" t="s">
        <v>199</v>
      </c>
      <c r="D431" s="120" t="s">
        <v>200</v>
      </c>
      <c r="E431" s="120" t="s">
        <v>201</v>
      </c>
      <c r="F431" s="120" t="s">
        <v>201</v>
      </c>
      <c r="G431" s="180" t="s">
        <v>104</v>
      </c>
      <c r="H431" s="180" t="s">
        <v>202</v>
      </c>
      <c r="I431" s="180" t="s">
        <v>202</v>
      </c>
      <c r="J431" s="180" t="s">
        <v>203</v>
      </c>
      <c r="K431" s="181" t="s">
        <v>204</v>
      </c>
      <c r="L431" s="120" t="s">
        <v>205</v>
      </c>
      <c r="M431" s="180" t="s">
        <v>215</v>
      </c>
      <c r="N431" s="180" t="s">
        <v>215</v>
      </c>
      <c r="O431" s="139" t="s">
        <v>217</v>
      </c>
      <c r="P431" s="139" t="s">
        <v>218</v>
      </c>
    </row>
    <row r="432" spans="1:16" x14ac:dyDescent="0.2">
      <c r="A432" s="191"/>
      <c r="B432" s="120" t="s">
        <v>208</v>
      </c>
      <c r="C432" s="120" t="s">
        <v>208</v>
      </c>
      <c r="D432" s="120" t="s">
        <v>208</v>
      </c>
      <c r="E432" s="120" t="s">
        <v>208</v>
      </c>
      <c r="F432" s="120" t="s">
        <v>208</v>
      </c>
      <c r="G432" s="180" t="s">
        <v>59</v>
      </c>
      <c r="H432" s="180" t="s">
        <v>59</v>
      </c>
      <c r="I432" s="180" t="s">
        <v>59</v>
      </c>
      <c r="J432" s="180" t="s">
        <v>209</v>
      </c>
      <c r="K432" s="181" t="s">
        <v>5</v>
      </c>
      <c r="L432" s="120" t="s">
        <v>219</v>
      </c>
      <c r="M432" s="180" t="s">
        <v>220</v>
      </c>
      <c r="N432" s="180" t="s">
        <v>220</v>
      </c>
      <c r="O432" s="139" t="s">
        <v>5</v>
      </c>
      <c r="P432" s="139" t="s">
        <v>221</v>
      </c>
    </row>
    <row r="433" spans="1:16" x14ac:dyDescent="0.2">
      <c r="A433" s="191"/>
      <c r="B433" s="120">
        <v>0.3</v>
      </c>
      <c r="C433" s="120">
        <v>4</v>
      </c>
      <c r="D433" s="120">
        <v>16.14</v>
      </c>
      <c r="G433" s="180">
        <f>(B433+2)*C433*D433</f>
        <v>148.488</v>
      </c>
      <c r="H433" s="180">
        <f>F433-I433</f>
        <v>-129.12</v>
      </c>
      <c r="I433" s="180">
        <f>G433-J433</f>
        <v>129.12</v>
      </c>
      <c r="J433" s="180">
        <f>B433*C433*D433</f>
        <v>19.367999999999999</v>
      </c>
      <c r="K433" s="181">
        <f>C433*2*D433</f>
        <v>129.12</v>
      </c>
      <c r="L433" s="189">
        <f>D433/0.2+1</f>
        <v>81.7</v>
      </c>
      <c r="M433" s="190">
        <f>(B433+0.7)*K433*3.28*2*0.668/2000</f>
        <v>0.28290708479999999</v>
      </c>
      <c r="N433" s="190">
        <f>(C433+0.7)*L433*3.28*2*0.668/2000</f>
        <v>0.84133744960000001</v>
      </c>
      <c r="O433" s="139" t="e">
        <f>#REF!</f>
        <v>#REF!</v>
      </c>
      <c r="P433" s="139">
        <v>2</v>
      </c>
    </row>
    <row r="434" spans="1:16" x14ac:dyDescent="0.2">
      <c r="A434" s="191"/>
      <c r="G434" s="180"/>
      <c r="H434" s="180"/>
      <c r="I434" s="180"/>
      <c r="J434" s="180"/>
      <c r="K434" s="181"/>
      <c r="O434" s="139"/>
      <c r="P434" s="139"/>
    </row>
    <row r="435" spans="1:16" x14ac:dyDescent="0.2">
      <c r="A435" s="191" t="s">
        <v>222</v>
      </c>
      <c r="B435" s="120" t="s">
        <v>198</v>
      </c>
      <c r="C435" s="120" t="s">
        <v>199</v>
      </c>
      <c r="D435" s="120" t="s">
        <v>200</v>
      </c>
      <c r="E435" s="120" t="s">
        <v>201</v>
      </c>
      <c r="F435" s="120" t="s">
        <v>201</v>
      </c>
      <c r="G435" s="180" t="s">
        <v>223</v>
      </c>
      <c r="H435" s="180" t="s">
        <v>224</v>
      </c>
      <c r="I435" s="180" t="s">
        <v>224</v>
      </c>
      <c r="J435" s="180" t="s">
        <v>203</v>
      </c>
      <c r="K435" s="181" t="s">
        <v>204</v>
      </c>
      <c r="L435" s="120" t="s">
        <v>205</v>
      </c>
      <c r="M435" s="180" t="s">
        <v>215</v>
      </c>
      <c r="N435" s="180" t="s">
        <v>215</v>
      </c>
      <c r="O435" s="139" t="s">
        <v>226</v>
      </c>
      <c r="P435" s="139"/>
    </row>
    <row r="436" spans="1:16" x14ac:dyDescent="0.2">
      <c r="A436" s="191"/>
      <c r="B436" s="120" t="s">
        <v>208</v>
      </c>
      <c r="C436" s="120" t="s">
        <v>208</v>
      </c>
      <c r="D436" s="120">
        <v>16.14</v>
      </c>
      <c r="E436" s="120" t="s">
        <v>208</v>
      </c>
      <c r="F436" s="120" t="s">
        <v>208</v>
      </c>
      <c r="G436" s="180" t="s">
        <v>59</v>
      </c>
      <c r="H436" s="180" t="s">
        <v>27</v>
      </c>
      <c r="I436" s="180" t="s">
        <v>27</v>
      </c>
      <c r="J436" s="180" t="s">
        <v>209</v>
      </c>
      <c r="K436" s="181" t="s">
        <v>5</v>
      </c>
      <c r="L436" s="120" t="s">
        <v>227</v>
      </c>
      <c r="M436" s="180" t="s">
        <v>220</v>
      </c>
      <c r="N436" s="180" t="s">
        <v>220</v>
      </c>
      <c r="O436" s="139" t="s">
        <v>5</v>
      </c>
      <c r="P436" s="139"/>
    </row>
    <row r="437" spans="1:16" x14ac:dyDescent="0.2">
      <c r="A437" s="191"/>
      <c r="B437" s="120">
        <v>0</v>
      </c>
      <c r="C437" s="120">
        <v>0</v>
      </c>
      <c r="D437" s="120">
        <v>16.14</v>
      </c>
      <c r="E437" s="120">
        <v>0</v>
      </c>
      <c r="F437" s="120">
        <v>0</v>
      </c>
      <c r="G437" s="180">
        <f>0.3*0.6*D437</f>
        <v>2.9051999999999998</v>
      </c>
      <c r="H437" s="180">
        <f>C437</f>
        <v>0</v>
      </c>
      <c r="I437" s="180">
        <f>D437</f>
        <v>16.14</v>
      </c>
      <c r="J437" s="180">
        <f>B437*C437*D437</f>
        <v>0</v>
      </c>
      <c r="K437" s="181">
        <f>C437*2*D437</f>
        <v>0</v>
      </c>
      <c r="L437" s="189">
        <v>2</v>
      </c>
      <c r="M437" s="192">
        <f>C437*K437*3.28*0.668/2000</f>
        <v>0</v>
      </c>
      <c r="N437" s="192">
        <f>D437*L437*3.28*0.668/2000</f>
        <v>3.5363385599999998E-2</v>
      </c>
      <c r="O437" s="139">
        <f>D437*0.55</f>
        <v>8.8770000000000007</v>
      </c>
      <c r="P437" s="139"/>
    </row>
    <row r="438" spans="1:16" x14ac:dyDescent="0.2">
      <c r="A438" s="191"/>
      <c r="D438" s="193"/>
      <c r="E438" s="193" t="s">
        <v>228</v>
      </c>
      <c r="F438" s="193" t="s">
        <v>228</v>
      </c>
      <c r="G438" s="193">
        <f>G433+G429</f>
        <v>178.34700000000001</v>
      </c>
      <c r="H438" s="193">
        <f>H433+H429</f>
        <v>-150.86160000000001</v>
      </c>
      <c r="I438" s="193">
        <f>I433+I429</f>
        <v>152.36160000000001</v>
      </c>
      <c r="J438" s="193">
        <f>J437+J433+J429</f>
        <v>25.985399999999998</v>
      </c>
      <c r="K438" s="194">
        <f>K437+K433+K429</f>
        <v>138.804</v>
      </c>
      <c r="L438" s="195" t="s">
        <v>229</v>
      </c>
      <c r="M438" s="196" t="e">
        <f>#REF!+M433+#REF!+M437+#REF!</f>
        <v>#REF!</v>
      </c>
      <c r="N438" s="196" t="e">
        <f>#REF!+N433+#REF!+N437+#REF!</f>
        <v>#REF!</v>
      </c>
      <c r="O438" s="139"/>
      <c r="P438" s="139"/>
    </row>
    <row r="439" spans="1:16" x14ac:dyDescent="0.2">
      <c r="A439" s="191"/>
      <c r="D439" s="193"/>
      <c r="E439" s="193"/>
      <c r="F439" s="193"/>
      <c r="G439" s="193"/>
      <c r="H439" s="193"/>
      <c r="I439" s="193"/>
      <c r="J439" s="193"/>
      <c r="K439" s="194"/>
      <c r="L439" s="195"/>
      <c r="M439" s="196"/>
      <c r="N439" s="196"/>
      <c r="O439" s="139"/>
      <c r="P439" s="139"/>
    </row>
    <row r="440" spans="1:16" x14ac:dyDescent="0.2">
      <c r="A440" s="191"/>
      <c r="D440" s="193"/>
      <c r="E440" s="193"/>
      <c r="F440" s="193"/>
      <c r="G440" s="193">
        <f>G438+G421+G403+G386</f>
        <v>875.24279999999999</v>
      </c>
      <c r="H440" s="193">
        <f>H438+H421+H403+H386</f>
        <v>-740.75</v>
      </c>
      <c r="I440" s="193">
        <f>I438+I421+I403+I386</f>
        <v>746.75</v>
      </c>
      <c r="J440" s="193">
        <f>J438+J421+J403+J386</f>
        <v>128.49280000000002</v>
      </c>
      <c r="K440" s="194">
        <f>K438+K421+K403+K386</f>
        <v>675.39200000000005</v>
      </c>
      <c r="L440" s="195"/>
      <c r="M440" s="196" t="e">
        <f>M438+M421+++M403+M386</f>
        <v>#REF!</v>
      </c>
      <c r="N440" s="196" t="e">
        <f>N438+N421+++N403+N386</f>
        <v>#REF!</v>
      </c>
      <c r="O440" s="139"/>
      <c r="P440" s="139"/>
    </row>
    <row r="441" spans="1:16" x14ac:dyDescent="0.2">
      <c r="A441" s="191"/>
      <c r="D441" s="193"/>
      <c r="E441" s="193"/>
      <c r="F441" s="193"/>
      <c r="G441" s="193"/>
      <c r="H441" s="193">
        <f>H437+H420+H402+H385</f>
        <v>0</v>
      </c>
      <c r="I441" s="193">
        <f>I437+I420+I402+I385</f>
        <v>84.949999999999989</v>
      </c>
      <c r="J441" s="193"/>
      <c r="K441" s="194"/>
      <c r="L441" s="195"/>
      <c r="M441" s="196"/>
      <c r="N441" s="196"/>
      <c r="O441" s="139"/>
      <c r="P441" s="139"/>
    </row>
    <row r="442" spans="1:16" x14ac:dyDescent="0.2">
      <c r="A442" s="179"/>
    </row>
    <row r="443" spans="1:16" x14ac:dyDescent="0.2">
      <c r="A443" s="191" t="s">
        <v>243</v>
      </c>
      <c r="G443" s="180"/>
      <c r="H443" s="180"/>
      <c r="I443" s="180"/>
      <c r="J443" s="180"/>
      <c r="K443" s="181"/>
      <c r="L443" s="197"/>
      <c r="M443" s="192"/>
      <c r="N443" s="192"/>
      <c r="O443" s="139"/>
      <c r="P443" s="141"/>
    </row>
    <row r="444" spans="1:16" x14ac:dyDescent="0.2">
      <c r="A444" s="191" t="s">
        <v>232</v>
      </c>
      <c r="G444" s="180"/>
      <c r="H444" s="180"/>
      <c r="I444" s="180"/>
      <c r="J444" s="180"/>
      <c r="K444" s="181"/>
      <c r="O444" s="139"/>
      <c r="P444" s="139"/>
    </row>
    <row r="445" spans="1:16" x14ac:dyDescent="0.2">
      <c r="A445" s="191"/>
      <c r="B445" s="120" t="s">
        <v>198</v>
      </c>
      <c r="C445" s="120" t="s">
        <v>199</v>
      </c>
      <c r="D445" s="120" t="s">
        <v>200</v>
      </c>
      <c r="E445" s="120" t="s">
        <v>201</v>
      </c>
      <c r="F445" s="120" t="s">
        <v>201</v>
      </c>
      <c r="G445" s="180" t="s">
        <v>104</v>
      </c>
      <c r="H445" s="180" t="s">
        <v>202</v>
      </c>
      <c r="I445" s="180" t="s">
        <v>202</v>
      </c>
      <c r="J445" s="180" t="s">
        <v>203</v>
      </c>
      <c r="K445" s="181" t="s">
        <v>204</v>
      </c>
      <c r="L445" s="120" t="s">
        <v>205</v>
      </c>
      <c r="M445" s="120" t="s">
        <v>205</v>
      </c>
      <c r="N445" s="120" t="s">
        <v>205</v>
      </c>
      <c r="O445" s="139" t="s">
        <v>206</v>
      </c>
      <c r="P445" s="139"/>
    </row>
    <row r="446" spans="1:16" x14ac:dyDescent="0.2">
      <c r="A446" s="191" t="s">
        <v>207</v>
      </c>
      <c r="B446" s="120" t="s">
        <v>208</v>
      </c>
      <c r="C446" s="120" t="s">
        <v>208</v>
      </c>
      <c r="D446" s="120" t="s">
        <v>208</v>
      </c>
      <c r="E446" s="120" t="s">
        <v>208</v>
      </c>
      <c r="F446" s="120" t="s">
        <v>208</v>
      </c>
      <c r="G446" s="180" t="s">
        <v>59</v>
      </c>
      <c r="H446" s="180" t="s">
        <v>59</v>
      </c>
      <c r="I446" s="180" t="s">
        <v>59</v>
      </c>
      <c r="J446" s="180" t="s">
        <v>209</v>
      </c>
      <c r="K446" s="181" t="s">
        <v>5</v>
      </c>
      <c r="L446" s="120" t="s">
        <v>210</v>
      </c>
      <c r="M446" s="120" t="s">
        <v>244</v>
      </c>
      <c r="N446" s="120" t="s">
        <v>244</v>
      </c>
      <c r="O446" s="139"/>
      <c r="P446" s="139"/>
    </row>
    <row r="447" spans="1:16" x14ac:dyDescent="0.2">
      <c r="A447" s="191"/>
      <c r="B447" s="120">
        <v>1.2</v>
      </c>
      <c r="C447" s="120">
        <v>0.3</v>
      </c>
      <c r="D447" s="120">
        <v>21.37</v>
      </c>
      <c r="E447" s="120">
        <v>1.75</v>
      </c>
      <c r="F447" s="120">
        <v>1.75</v>
      </c>
      <c r="G447" s="180">
        <f>B447*D447*F447</f>
        <v>44.877000000000002</v>
      </c>
      <c r="H447" s="180">
        <f>F447-I447</f>
        <v>-35.433800000000005</v>
      </c>
      <c r="I447" s="180">
        <f>G447-J447</f>
        <v>37.183800000000005</v>
      </c>
      <c r="J447" s="180">
        <f>B447*C447*D447</f>
        <v>7.6932</v>
      </c>
      <c r="K447" s="181">
        <f>C447*2*D447</f>
        <v>12.822000000000001</v>
      </c>
      <c r="L447" s="189">
        <f>D447/0.4+1</f>
        <v>54.424999999999997</v>
      </c>
      <c r="M447" s="189">
        <f>A447/0.25+1</f>
        <v>1</v>
      </c>
      <c r="N447" s="189">
        <f>B447/0.25+1</f>
        <v>5.8</v>
      </c>
      <c r="O447" s="139"/>
      <c r="P447" s="139"/>
    </row>
    <row r="448" spans="1:16" x14ac:dyDescent="0.2">
      <c r="A448" s="191"/>
      <c r="B448" s="120">
        <v>0.45</v>
      </c>
      <c r="C448" s="120">
        <v>0.45</v>
      </c>
      <c r="D448" s="120">
        <v>21.37</v>
      </c>
      <c r="G448" s="180">
        <f>B448*C448*D448</f>
        <v>4.3274250000000007</v>
      </c>
      <c r="H448" s="180"/>
      <c r="I448" s="180"/>
      <c r="J448" s="180">
        <f>B448*C448*D448</f>
        <v>4.3274250000000007</v>
      </c>
      <c r="K448" s="181"/>
      <c r="O448" s="139"/>
      <c r="P448" s="139"/>
    </row>
    <row r="449" spans="1:16" x14ac:dyDescent="0.2">
      <c r="A449" s="191"/>
      <c r="G449" s="180">
        <f>SUM(G447:G448)</f>
        <v>49.204425000000001</v>
      </c>
      <c r="H449" s="180">
        <f>SUM(H447:H448)</f>
        <v>-35.433800000000005</v>
      </c>
      <c r="I449" s="180">
        <f>SUM(I447:I448)</f>
        <v>37.183800000000005</v>
      </c>
      <c r="J449" s="180">
        <f>SUM(J447:J448)</f>
        <v>12.020625000000001</v>
      </c>
      <c r="K449" s="181">
        <f>SUM(K447:K448)</f>
        <v>12.822000000000001</v>
      </c>
      <c r="O449" s="139"/>
      <c r="P449" s="139"/>
    </row>
    <row r="450" spans="1:16" x14ac:dyDescent="0.2">
      <c r="A450" s="191"/>
      <c r="G450" s="180"/>
      <c r="H450" s="180"/>
      <c r="I450" s="180"/>
      <c r="J450" s="180"/>
      <c r="K450" s="181"/>
      <c r="O450" s="139" t="s">
        <v>213</v>
      </c>
      <c r="P450" s="139"/>
    </row>
    <row r="451" spans="1:16" x14ac:dyDescent="0.2">
      <c r="A451" s="191" t="s">
        <v>214</v>
      </c>
      <c r="B451" s="120" t="s">
        <v>198</v>
      </c>
      <c r="C451" s="120" t="s">
        <v>199</v>
      </c>
      <c r="D451" s="120" t="s">
        <v>200</v>
      </c>
      <c r="E451" s="120" t="s">
        <v>201</v>
      </c>
      <c r="F451" s="120" t="s">
        <v>201</v>
      </c>
      <c r="G451" s="180" t="s">
        <v>104</v>
      </c>
      <c r="H451" s="180" t="s">
        <v>202</v>
      </c>
      <c r="I451" s="180" t="s">
        <v>202</v>
      </c>
      <c r="J451" s="180" t="s">
        <v>203</v>
      </c>
      <c r="K451" s="181" t="s">
        <v>204</v>
      </c>
      <c r="L451" s="120" t="s">
        <v>205</v>
      </c>
      <c r="M451" s="180" t="s">
        <v>215</v>
      </c>
      <c r="N451" s="180" t="s">
        <v>215</v>
      </c>
      <c r="O451" s="139" t="s">
        <v>217</v>
      </c>
      <c r="P451" s="139" t="s">
        <v>218</v>
      </c>
    </row>
    <row r="452" spans="1:16" x14ac:dyDescent="0.2">
      <c r="A452" s="191"/>
      <c r="B452" s="120" t="s">
        <v>208</v>
      </c>
      <c r="C452" s="120" t="s">
        <v>208</v>
      </c>
      <c r="D452" s="120" t="s">
        <v>208</v>
      </c>
      <c r="E452" s="120" t="s">
        <v>208</v>
      </c>
      <c r="F452" s="120" t="s">
        <v>208</v>
      </c>
      <c r="G452" s="180" t="s">
        <v>59</v>
      </c>
      <c r="H452" s="180" t="s">
        <v>59</v>
      </c>
      <c r="I452" s="180" t="s">
        <v>59</v>
      </c>
      <c r="J452" s="180" t="s">
        <v>209</v>
      </c>
      <c r="K452" s="181" t="s">
        <v>5</v>
      </c>
      <c r="L452" s="120" t="s">
        <v>219</v>
      </c>
      <c r="M452" s="180" t="s">
        <v>220</v>
      </c>
      <c r="N452" s="180" t="s">
        <v>220</v>
      </c>
      <c r="O452" s="139" t="s">
        <v>5</v>
      </c>
      <c r="P452" s="139" t="s">
        <v>221</v>
      </c>
    </row>
    <row r="453" spans="1:16" x14ac:dyDescent="0.2">
      <c r="A453" s="191"/>
      <c r="B453" s="120">
        <v>0.3</v>
      </c>
      <c r="C453" s="120">
        <v>4</v>
      </c>
      <c r="D453" s="120">
        <v>21.37</v>
      </c>
      <c r="G453" s="180">
        <f>(B453+2)*C453*D453</f>
        <v>196.60399999999998</v>
      </c>
      <c r="H453" s="180">
        <f>F453-I453</f>
        <v>-170.95999999999998</v>
      </c>
      <c r="I453" s="180">
        <f>G453-J453</f>
        <v>170.95999999999998</v>
      </c>
      <c r="J453" s="180">
        <f>B453*C453*D453</f>
        <v>25.644000000000002</v>
      </c>
      <c r="K453" s="181">
        <f>C453*2*D453</f>
        <v>170.96</v>
      </c>
      <c r="L453" s="189">
        <f>D453/0.2+1</f>
        <v>107.85</v>
      </c>
      <c r="M453" s="190">
        <f>(B453+0.7)*K453*3.28*0.668/2000</f>
        <v>0.18729009919999998</v>
      </c>
      <c r="N453" s="190">
        <f>(C453+0.7)*L453*3.28*0.668/2000</f>
        <v>0.55531361040000005</v>
      </c>
      <c r="O453" s="139" t="e">
        <f>#REF!</f>
        <v>#REF!</v>
      </c>
      <c r="P453" s="139">
        <v>2</v>
      </c>
    </row>
    <row r="454" spans="1:16" x14ac:dyDescent="0.2">
      <c r="A454" s="191"/>
      <c r="G454" s="180"/>
      <c r="H454" s="180"/>
      <c r="I454" s="180"/>
      <c r="J454" s="180"/>
      <c r="K454" s="181"/>
      <c r="O454" s="139"/>
      <c r="P454" s="139"/>
    </row>
    <row r="455" spans="1:16" x14ac:dyDescent="0.2">
      <c r="A455" s="191" t="s">
        <v>222</v>
      </c>
      <c r="B455" s="120" t="s">
        <v>198</v>
      </c>
      <c r="C455" s="120" t="s">
        <v>199</v>
      </c>
      <c r="D455" s="120" t="s">
        <v>200</v>
      </c>
      <c r="E455" s="120" t="s">
        <v>201</v>
      </c>
      <c r="F455" s="120" t="s">
        <v>201</v>
      </c>
      <c r="G455" s="180" t="s">
        <v>223</v>
      </c>
      <c r="H455" s="180" t="s">
        <v>224</v>
      </c>
      <c r="I455" s="180" t="s">
        <v>224</v>
      </c>
      <c r="J455" s="180" t="s">
        <v>203</v>
      </c>
      <c r="K455" s="181" t="s">
        <v>204</v>
      </c>
      <c r="L455" s="120" t="s">
        <v>205</v>
      </c>
      <c r="M455" s="180" t="s">
        <v>215</v>
      </c>
      <c r="N455" s="180" t="s">
        <v>215</v>
      </c>
      <c r="O455" s="139" t="s">
        <v>226</v>
      </c>
      <c r="P455" s="139"/>
    </row>
    <row r="456" spans="1:16" x14ac:dyDescent="0.2">
      <c r="A456" s="191"/>
      <c r="B456" s="120" t="s">
        <v>208</v>
      </c>
      <c r="C456" s="120" t="s">
        <v>208</v>
      </c>
      <c r="D456" s="120">
        <v>21.37</v>
      </c>
      <c r="E456" s="120" t="s">
        <v>208</v>
      </c>
      <c r="F456" s="120" t="s">
        <v>208</v>
      </c>
      <c r="G456" s="180" t="s">
        <v>59</v>
      </c>
      <c r="H456" s="180" t="s">
        <v>27</v>
      </c>
      <c r="I456" s="180" t="s">
        <v>27</v>
      </c>
      <c r="J456" s="180" t="s">
        <v>209</v>
      </c>
      <c r="K456" s="181" t="s">
        <v>5</v>
      </c>
      <c r="L456" s="120" t="s">
        <v>227</v>
      </c>
      <c r="M456" s="180" t="s">
        <v>220</v>
      </c>
      <c r="N456" s="180" t="s">
        <v>220</v>
      </c>
      <c r="O456" s="139" t="s">
        <v>5</v>
      </c>
      <c r="P456" s="139"/>
    </row>
    <row r="457" spans="1:16" x14ac:dyDescent="0.2">
      <c r="A457" s="191"/>
      <c r="B457" s="120">
        <v>0</v>
      </c>
      <c r="C457" s="120">
        <v>0</v>
      </c>
      <c r="D457" s="120">
        <v>21.37</v>
      </c>
      <c r="E457" s="120">
        <v>0</v>
      </c>
      <c r="F457" s="120">
        <v>0</v>
      </c>
      <c r="G457" s="180">
        <f>0.3*0.6*D457</f>
        <v>3.8466</v>
      </c>
      <c r="H457" s="180">
        <f>C457</f>
        <v>0</v>
      </c>
      <c r="I457" s="180">
        <f>D457</f>
        <v>21.37</v>
      </c>
      <c r="J457" s="180">
        <f>B457*C457*D457</f>
        <v>0</v>
      </c>
      <c r="K457" s="181">
        <f>C457*2*D457</f>
        <v>0</v>
      </c>
      <c r="L457" s="189">
        <v>2</v>
      </c>
      <c r="M457" s="192">
        <f>C457*K457*3.28*0.668/2000</f>
        <v>0</v>
      </c>
      <c r="N457" s="192">
        <f>D457*L457*3.28*0.668/2000</f>
        <v>4.6822524799999994E-2</v>
      </c>
      <c r="O457" s="139">
        <f>D457*0.55</f>
        <v>11.753500000000001</v>
      </c>
      <c r="P457" s="139"/>
    </row>
    <row r="458" spans="1:16" x14ac:dyDescent="0.2">
      <c r="A458" s="191"/>
      <c r="D458" s="193"/>
      <c r="E458" s="193" t="s">
        <v>228</v>
      </c>
      <c r="F458" s="193" t="s">
        <v>228</v>
      </c>
      <c r="G458" s="193">
        <f>G453+G449</f>
        <v>245.808425</v>
      </c>
      <c r="H458" s="193">
        <f>H453+H449</f>
        <v>-206.3938</v>
      </c>
      <c r="I458" s="193">
        <f>I453+I449</f>
        <v>208.1438</v>
      </c>
      <c r="J458" s="193">
        <f>J457+J453+J449</f>
        <v>37.664625000000001</v>
      </c>
      <c r="K458" s="194">
        <f>K457+K453+K449</f>
        <v>183.78200000000001</v>
      </c>
      <c r="L458" s="195" t="s">
        <v>229</v>
      </c>
      <c r="M458" s="196" t="e">
        <f>#REF!+M453+#REF!+M457+#REF!</f>
        <v>#REF!</v>
      </c>
      <c r="N458" s="196" t="e">
        <f>#REF!+N453+#REF!+N457+#REF!</f>
        <v>#REF!</v>
      </c>
      <c r="O458" s="139"/>
      <c r="P458" s="139"/>
    </row>
    <row r="459" spans="1:16" x14ac:dyDescent="0.2">
      <c r="A459" s="179"/>
    </row>
  </sheetData>
  <mergeCells count="27">
    <mergeCell ref="G5:G8"/>
    <mergeCell ref="H5:H8"/>
    <mergeCell ref="I5:I8"/>
    <mergeCell ref="A14:A17"/>
    <mergeCell ref="B14:B17"/>
    <mergeCell ref="C14:C17"/>
    <mergeCell ref="D14:D17"/>
    <mergeCell ref="E14:E17"/>
    <mergeCell ref="F14:F17"/>
    <mergeCell ref="G14:G17"/>
    <mergeCell ref="A5:A8"/>
    <mergeCell ref="B5:B8"/>
    <mergeCell ref="C5:C8"/>
    <mergeCell ref="D5:D8"/>
    <mergeCell ref="E5:E8"/>
    <mergeCell ref="F5:F8"/>
    <mergeCell ref="I18:I21"/>
    <mergeCell ref="H14:H17"/>
    <mergeCell ref="I14:I17"/>
    <mergeCell ref="A18:A21"/>
    <mergeCell ref="B18:B21"/>
    <mergeCell ref="C18:C21"/>
    <mergeCell ref="D18:D21"/>
    <mergeCell ref="E18:E21"/>
    <mergeCell ref="F18:F21"/>
    <mergeCell ref="G18:G21"/>
    <mergeCell ref="H18:H21"/>
  </mergeCells>
  <pageMargins left="0.75" right="0.75" top="1" bottom="1" header="0" footer="0"/>
  <pageSetup paperSize="9"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F1188-82AF-4C6F-AD77-0B570EDC2219}">
  <sheetPr codeName="Sheet7"/>
  <dimension ref="A1:Q64"/>
  <sheetViews>
    <sheetView zoomScaleNormal="100" workbookViewId="0">
      <selection activeCell="J21" sqref="J21"/>
    </sheetView>
  </sheetViews>
  <sheetFormatPr defaultColWidth="11.42578125" defaultRowHeight="12.75" x14ac:dyDescent="0.2"/>
  <cols>
    <col min="1" max="1" width="18" style="7" customWidth="1"/>
    <col min="2" max="13" width="15.7109375" style="7" customWidth="1"/>
    <col min="14" max="256" width="11.42578125" style="7"/>
    <col min="257" max="257" width="18" style="7" customWidth="1"/>
    <col min="258" max="269" width="15.7109375" style="7" customWidth="1"/>
    <col min="270" max="512" width="11.42578125" style="7"/>
    <col min="513" max="513" width="18" style="7" customWidth="1"/>
    <col min="514" max="525" width="15.7109375" style="7" customWidth="1"/>
    <col min="526" max="768" width="11.42578125" style="7"/>
    <col min="769" max="769" width="18" style="7" customWidth="1"/>
    <col min="770" max="781" width="15.7109375" style="7" customWidth="1"/>
    <col min="782" max="1024" width="11.42578125" style="7"/>
    <col min="1025" max="1025" width="18" style="7" customWidth="1"/>
    <col min="1026" max="1037" width="15.7109375" style="7" customWidth="1"/>
    <col min="1038" max="1280" width="11.42578125" style="7"/>
    <col min="1281" max="1281" width="18" style="7" customWidth="1"/>
    <col min="1282" max="1293" width="15.7109375" style="7" customWidth="1"/>
    <col min="1294" max="1536" width="11.42578125" style="7"/>
    <col min="1537" max="1537" width="18" style="7" customWidth="1"/>
    <col min="1538" max="1549" width="15.7109375" style="7" customWidth="1"/>
    <col min="1550" max="1792" width="11.42578125" style="7"/>
    <col min="1793" max="1793" width="18" style="7" customWidth="1"/>
    <col min="1794" max="1805" width="15.7109375" style="7" customWidth="1"/>
    <col min="1806" max="2048" width="11.42578125" style="7"/>
    <col min="2049" max="2049" width="18" style="7" customWidth="1"/>
    <col min="2050" max="2061" width="15.7109375" style="7" customWidth="1"/>
    <col min="2062" max="2304" width="11.42578125" style="7"/>
    <col min="2305" max="2305" width="18" style="7" customWidth="1"/>
    <col min="2306" max="2317" width="15.7109375" style="7" customWidth="1"/>
    <col min="2318" max="2560" width="11.42578125" style="7"/>
    <col min="2561" max="2561" width="18" style="7" customWidth="1"/>
    <col min="2562" max="2573" width="15.7109375" style="7" customWidth="1"/>
    <col min="2574" max="2816" width="11.42578125" style="7"/>
    <col min="2817" max="2817" width="18" style="7" customWidth="1"/>
    <col min="2818" max="2829" width="15.7109375" style="7" customWidth="1"/>
    <col min="2830" max="3072" width="11.42578125" style="7"/>
    <col min="3073" max="3073" width="18" style="7" customWidth="1"/>
    <col min="3074" max="3085" width="15.7109375" style="7" customWidth="1"/>
    <col min="3086" max="3328" width="11.42578125" style="7"/>
    <col min="3329" max="3329" width="18" style="7" customWidth="1"/>
    <col min="3330" max="3341" width="15.7109375" style="7" customWidth="1"/>
    <col min="3342" max="3584" width="11.42578125" style="7"/>
    <col min="3585" max="3585" width="18" style="7" customWidth="1"/>
    <col min="3586" max="3597" width="15.7109375" style="7" customWidth="1"/>
    <col min="3598" max="3840" width="11.42578125" style="7"/>
    <col min="3841" max="3841" width="18" style="7" customWidth="1"/>
    <col min="3842" max="3853" width="15.7109375" style="7" customWidth="1"/>
    <col min="3854" max="4096" width="11.42578125" style="7"/>
    <col min="4097" max="4097" width="18" style="7" customWidth="1"/>
    <col min="4098" max="4109" width="15.7109375" style="7" customWidth="1"/>
    <col min="4110" max="4352" width="11.42578125" style="7"/>
    <col min="4353" max="4353" width="18" style="7" customWidth="1"/>
    <col min="4354" max="4365" width="15.7109375" style="7" customWidth="1"/>
    <col min="4366" max="4608" width="11.42578125" style="7"/>
    <col min="4609" max="4609" width="18" style="7" customWidth="1"/>
    <col min="4610" max="4621" width="15.7109375" style="7" customWidth="1"/>
    <col min="4622" max="4864" width="11.42578125" style="7"/>
    <col min="4865" max="4865" width="18" style="7" customWidth="1"/>
    <col min="4866" max="4877" width="15.7109375" style="7" customWidth="1"/>
    <col min="4878" max="5120" width="11.42578125" style="7"/>
    <col min="5121" max="5121" width="18" style="7" customWidth="1"/>
    <col min="5122" max="5133" width="15.7109375" style="7" customWidth="1"/>
    <col min="5134" max="5376" width="11.42578125" style="7"/>
    <col min="5377" max="5377" width="18" style="7" customWidth="1"/>
    <col min="5378" max="5389" width="15.7109375" style="7" customWidth="1"/>
    <col min="5390" max="5632" width="11.42578125" style="7"/>
    <col min="5633" max="5633" width="18" style="7" customWidth="1"/>
    <col min="5634" max="5645" width="15.7109375" style="7" customWidth="1"/>
    <col min="5646" max="5888" width="11.42578125" style="7"/>
    <col min="5889" max="5889" width="18" style="7" customWidth="1"/>
    <col min="5890" max="5901" width="15.7109375" style="7" customWidth="1"/>
    <col min="5902" max="6144" width="11.42578125" style="7"/>
    <col min="6145" max="6145" width="18" style="7" customWidth="1"/>
    <col min="6146" max="6157" width="15.7109375" style="7" customWidth="1"/>
    <col min="6158" max="6400" width="11.42578125" style="7"/>
    <col min="6401" max="6401" width="18" style="7" customWidth="1"/>
    <col min="6402" max="6413" width="15.7109375" style="7" customWidth="1"/>
    <col min="6414" max="6656" width="11.42578125" style="7"/>
    <col min="6657" max="6657" width="18" style="7" customWidth="1"/>
    <col min="6658" max="6669" width="15.7109375" style="7" customWidth="1"/>
    <col min="6670" max="6912" width="11.42578125" style="7"/>
    <col min="6913" max="6913" width="18" style="7" customWidth="1"/>
    <col min="6914" max="6925" width="15.7109375" style="7" customWidth="1"/>
    <col min="6926" max="7168" width="11.42578125" style="7"/>
    <col min="7169" max="7169" width="18" style="7" customWidth="1"/>
    <col min="7170" max="7181" width="15.7109375" style="7" customWidth="1"/>
    <col min="7182" max="7424" width="11.42578125" style="7"/>
    <col min="7425" max="7425" width="18" style="7" customWidth="1"/>
    <col min="7426" max="7437" width="15.7109375" style="7" customWidth="1"/>
    <col min="7438" max="7680" width="11.42578125" style="7"/>
    <col min="7681" max="7681" width="18" style="7" customWidth="1"/>
    <col min="7682" max="7693" width="15.7109375" style="7" customWidth="1"/>
    <col min="7694" max="7936" width="11.42578125" style="7"/>
    <col min="7937" max="7937" width="18" style="7" customWidth="1"/>
    <col min="7938" max="7949" width="15.7109375" style="7" customWidth="1"/>
    <col min="7950" max="8192" width="11.42578125" style="7"/>
    <col min="8193" max="8193" width="18" style="7" customWidth="1"/>
    <col min="8194" max="8205" width="15.7109375" style="7" customWidth="1"/>
    <col min="8206" max="8448" width="11.42578125" style="7"/>
    <col min="8449" max="8449" width="18" style="7" customWidth="1"/>
    <col min="8450" max="8461" width="15.7109375" style="7" customWidth="1"/>
    <col min="8462" max="8704" width="11.42578125" style="7"/>
    <col min="8705" max="8705" width="18" style="7" customWidth="1"/>
    <col min="8706" max="8717" width="15.7109375" style="7" customWidth="1"/>
    <col min="8718" max="8960" width="11.42578125" style="7"/>
    <col min="8961" max="8961" width="18" style="7" customWidth="1"/>
    <col min="8962" max="8973" width="15.7109375" style="7" customWidth="1"/>
    <col min="8974" max="9216" width="11.42578125" style="7"/>
    <col min="9217" max="9217" width="18" style="7" customWidth="1"/>
    <col min="9218" max="9229" width="15.7109375" style="7" customWidth="1"/>
    <col min="9230" max="9472" width="11.42578125" style="7"/>
    <col min="9473" max="9473" width="18" style="7" customWidth="1"/>
    <col min="9474" max="9485" width="15.7109375" style="7" customWidth="1"/>
    <col min="9486" max="9728" width="11.42578125" style="7"/>
    <col min="9729" max="9729" width="18" style="7" customWidth="1"/>
    <col min="9730" max="9741" width="15.7109375" style="7" customWidth="1"/>
    <col min="9742" max="9984" width="11.42578125" style="7"/>
    <col min="9985" max="9985" width="18" style="7" customWidth="1"/>
    <col min="9986" max="9997" width="15.7109375" style="7" customWidth="1"/>
    <col min="9998" max="10240" width="11.42578125" style="7"/>
    <col min="10241" max="10241" width="18" style="7" customWidth="1"/>
    <col min="10242" max="10253" width="15.7109375" style="7" customWidth="1"/>
    <col min="10254" max="10496" width="11.42578125" style="7"/>
    <col min="10497" max="10497" width="18" style="7" customWidth="1"/>
    <col min="10498" max="10509" width="15.7109375" style="7" customWidth="1"/>
    <col min="10510" max="10752" width="11.42578125" style="7"/>
    <col min="10753" max="10753" width="18" style="7" customWidth="1"/>
    <col min="10754" max="10765" width="15.7109375" style="7" customWidth="1"/>
    <col min="10766" max="11008" width="11.42578125" style="7"/>
    <col min="11009" max="11009" width="18" style="7" customWidth="1"/>
    <col min="11010" max="11021" width="15.7109375" style="7" customWidth="1"/>
    <col min="11022" max="11264" width="11.42578125" style="7"/>
    <col min="11265" max="11265" width="18" style="7" customWidth="1"/>
    <col min="11266" max="11277" width="15.7109375" style="7" customWidth="1"/>
    <col min="11278" max="11520" width="11.42578125" style="7"/>
    <col min="11521" max="11521" width="18" style="7" customWidth="1"/>
    <col min="11522" max="11533" width="15.7109375" style="7" customWidth="1"/>
    <col min="11534" max="11776" width="11.42578125" style="7"/>
    <col min="11777" max="11777" width="18" style="7" customWidth="1"/>
    <col min="11778" max="11789" width="15.7109375" style="7" customWidth="1"/>
    <col min="11790" max="12032" width="11.42578125" style="7"/>
    <col min="12033" max="12033" width="18" style="7" customWidth="1"/>
    <col min="12034" max="12045" width="15.7109375" style="7" customWidth="1"/>
    <col min="12046" max="12288" width="11.42578125" style="7"/>
    <col min="12289" max="12289" width="18" style="7" customWidth="1"/>
    <col min="12290" max="12301" width="15.7109375" style="7" customWidth="1"/>
    <col min="12302" max="12544" width="11.42578125" style="7"/>
    <col min="12545" max="12545" width="18" style="7" customWidth="1"/>
    <col min="12546" max="12557" width="15.7109375" style="7" customWidth="1"/>
    <col min="12558" max="12800" width="11.42578125" style="7"/>
    <col min="12801" max="12801" width="18" style="7" customWidth="1"/>
    <col min="12802" max="12813" width="15.7109375" style="7" customWidth="1"/>
    <col min="12814" max="13056" width="11.42578125" style="7"/>
    <col min="13057" max="13057" width="18" style="7" customWidth="1"/>
    <col min="13058" max="13069" width="15.7109375" style="7" customWidth="1"/>
    <col min="13070" max="13312" width="11.42578125" style="7"/>
    <col min="13313" max="13313" width="18" style="7" customWidth="1"/>
    <col min="13314" max="13325" width="15.7109375" style="7" customWidth="1"/>
    <col min="13326" max="13568" width="11.42578125" style="7"/>
    <col min="13569" max="13569" width="18" style="7" customWidth="1"/>
    <col min="13570" max="13581" width="15.7109375" style="7" customWidth="1"/>
    <col min="13582" max="13824" width="11.42578125" style="7"/>
    <col min="13825" max="13825" width="18" style="7" customWidth="1"/>
    <col min="13826" max="13837" width="15.7109375" style="7" customWidth="1"/>
    <col min="13838" max="14080" width="11.42578125" style="7"/>
    <col min="14081" max="14081" width="18" style="7" customWidth="1"/>
    <col min="14082" max="14093" width="15.7109375" style="7" customWidth="1"/>
    <col min="14094" max="14336" width="11.42578125" style="7"/>
    <col min="14337" max="14337" width="18" style="7" customWidth="1"/>
    <col min="14338" max="14349" width="15.7109375" style="7" customWidth="1"/>
    <col min="14350" max="14592" width="11.42578125" style="7"/>
    <col min="14593" max="14593" width="18" style="7" customWidth="1"/>
    <col min="14594" max="14605" width="15.7109375" style="7" customWidth="1"/>
    <col min="14606" max="14848" width="11.42578125" style="7"/>
    <col min="14849" max="14849" width="18" style="7" customWidth="1"/>
    <col min="14850" max="14861" width="15.7109375" style="7" customWidth="1"/>
    <col min="14862" max="15104" width="11.42578125" style="7"/>
    <col min="15105" max="15105" width="18" style="7" customWidth="1"/>
    <col min="15106" max="15117" width="15.7109375" style="7" customWidth="1"/>
    <col min="15118" max="15360" width="11.42578125" style="7"/>
    <col min="15361" max="15361" width="18" style="7" customWidth="1"/>
    <col min="15362" max="15373" width="15.7109375" style="7" customWidth="1"/>
    <col min="15374" max="15616" width="11.42578125" style="7"/>
    <col min="15617" max="15617" width="18" style="7" customWidth="1"/>
    <col min="15618" max="15629" width="15.7109375" style="7" customWidth="1"/>
    <col min="15630" max="15872" width="11.42578125" style="7"/>
    <col min="15873" max="15873" width="18" style="7" customWidth="1"/>
    <col min="15874" max="15885" width="15.7109375" style="7" customWidth="1"/>
    <col min="15886" max="16128" width="11.42578125" style="7"/>
    <col min="16129" max="16129" width="18" style="7" customWidth="1"/>
    <col min="16130" max="16141" width="15.7109375" style="7" customWidth="1"/>
    <col min="16142" max="16384" width="11.42578125" style="7"/>
  </cols>
  <sheetData>
    <row r="1" spans="1:17" s="8" customFormat="1" ht="15.75" x14ac:dyDescent="0.25">
      <c r="A1" s="198" t="s">
        <v>91</v>
      </c>
    </row>
    <row r="2" spans="1:17" s="8" customFormat="1" ht="15" x14ac:dyDescent="0.2">
      <c r="B2" s="110"/>
      <c r="C2" s="110"/>
      <c r="D2" s="110"/>
      <c r="E2" s="110"/>
      <c r="F2" s="110"/>
      <c r="G2" s="110"/>
    </row>
    <row r="3" spans="1:17" s="202" customFormat="1" ht="31.5" x14ac:dyDescent="0.25">
      <c r="A3" s="199" t="s">
        <v>255</v>
      </c>
      <c r="B3" s="200" t="s">
        <v>256</v>
      </c>
      <c r="C3" s="200" t="s">
        <v>257</v>
      </c>
      <c r="D3" s="200" t="s">
        <v>258</v>
      </c>
      <c r="E3" s="200" t="s">
        <v>259</v>
      </c>
      <c r="F3" s="201" t="s">
        <v>260</v>
      </c>
      <c r="G3" s="201" t="s">
        <v>258</v>
      </c>
      <c r="H3" s="201" t="s">
        <v>261</v>
      </c>
      <c r="I3" s="201" t="s">
        <v>262</v>
      </c>
      <c r="J3" s="201" t="s">
        <v>263</v>
      </c>
      <c r="K3" s="201" t="s">
        <v>264</v>
      </c>
      <c r="L3" s="201" t="s">
        <v>265</v>
      </c>
      <c r="M3" s="201" t="s">
        <v>266</v>
      </c>
    </row>
    <row r="4" spans="1:17" s="8" customFormat="1" ht="15.75" x14ac:dyDescent="0.25">
      <c r="A4" s="203" t="s">
        <v>267</v>
      </c>
      <c r="B4" s="204" t="s">
        <v>268</v>
      </c>
      <c r="C4" s="204" t="s">
        <v>27</v>
      </c>
      <c r="D4" s="204" t="s">
        <v>27</v>
      </c>
      <c r="E4" s="204" t="s">
        <v>27</v>
      </c>
      <c r="F4" s="205" t="s">
        <v>5</v>
      </c>
      <c r="G4" s="205" t="s">
        <v>5</v>
      </c>
      <c r="H4" s="205" t="s">
        <v>5</v>
      </c>
      <c r="I4" s="205" t="s">
        <v>5</v>
      </c>
      <c r="J4" s="205" t="s">
        <v>27</v>
      </c>
      <c r="K4" s="205" t="s">
        <v>27</v>
      </c>
      <c r="L4" s="205" t="s">
        <v>27</v>
      </c>
      <c r="M4" s="205" t="s">
        <v>27</v>
      </c>
    </row>
    <row r="5" spans="1:17" s="8" customFormat="1" ht="15" x14ac:dyDescent="0.2">
      <c r="A5" s="206"/>
      <c r="B5" s="126"/>
      <c r="C5" s="207"/>
      <c r="D5" s="207"/>
      <c r="E5" s="207"/>
      <c r="F5" s="208">
        <f>C5*E5</f>
        <v>0</v>
      </c>
      <c r="G5" s="208">
        <f>D5*E5-H31</f>
        <v>0</v>
      </c>
      <c r="H5" s="208">
        <f>F5+G5</f>
        <v>0</v>
      </c>
      <c r="I5" s="208">
        <f>F5+G5</f>
        <v>0</v>
      </c>
      <c r="J5" s="208">
        <f>(E5/3)*C5</f>
        <v>0</v>
      </c>
      <c r="K5" s="208">
        <f>(C5/5)*E5</f>
        <v>0</v>
      </c>
      <c r="L5" s="208">
        <f>(E5/3)*D5</f>
        <v>0</v>
      </c>
      <c r="M5" s="208">
        <f>(D5/5)*E5</f>
        <v>0</v>
      </c>
    </row>
    <row r="6" spans="1:17" s="8" customFormat="1" ht="15" x14ac:dyDescent="0.2">
      <c r="A6" s="206"/>
      <c r="B6" s="126"/>
      <c r="C6" s="207"/>
      <c r="D6" s="207"/>
      <c r="E6" s="207"/>
      <c r="F6" s="208">
        <f>C6*E6</f>
        <v>0</v>
      </c>
      <c r="G6" s="208">
        <f>D6*E6-H41</f>
        <v>0</v>
      </c>
      <c r="H6" s="208">
        <f>F6+G6</f>
        <v>0</v>
      </c>
      <c r="I6" s="208">
        <f>F6+G6</f>
        <v>0</v>
      </c>
      <c r="J6" s="208">
        <f>(E6/3)*C6</f>
        <v>0</v>
      </c>
      <c r="K6" s="208">
        <f>(C6/5)*E6</f>
        <v>0</v>
      </c>
      <c r="L6" s="208">
        <f>(E6/3)*D6</f>
        <v>0</v>
      </c>
      <c r="M6" s="208">
        <f>(D6/5)*E6</f>
        <v>0</v>
      </c>
    </row>
    <row r="7" spans="1:17" s="8" customFormat="1" ht="15" x14ac:dyDescent="0.2">
      <c r="A7" s="206"/>
      <c r="B7" s="126"/>
      <c r="C7" s="207"/>
      <c r="D7" s="207"/>
      <c r="E7" s="207"/>
      <c r="F7" s="208">
        <f>C7*E7</f>
        <v>0</v>
      </c>
      <c r="G7" s="208">
        <f>D7*E7-H51</f>
        <v>0</v>
      </c>
      <c r="H7" s="208">
        <f>F7+G7</f>
        <v>0</v>
      </c>
      <c r="I7" s="208">
        <f>F7+G7</f>
        <v>0</v>
      </c>
      <c r="J7" s="208">
        <f>(E7/3)*C7</f>
        <v>0</v>
      </c>
      <c r="K7" s="208">
        <f>(C7/5)*E7</f>
        <v>0</v>
      </c>
      <c r="L7" s="208">
        <f>(E7/3)*D7</f>
        <v>0</v>
      </c>
      <c r="M7" s="208">
        <f>(D7/5)*E7</f>
        <v>0</v>
      </c>
    </row>
    <row r="8" spans="1:17" s="8" customFormat="1" ht="15" x14ac:dyDescent="0.2">
      <c r="A8" s="206"/>
      <c r="B8" s="126"/>
      <c r="C8" s="207"/>
      <c r="D8" s="207"/>
      <c r="E8" s="207"/>
      <c r="F8" s="208">
        <f>C8*E8</f>
        <v>0</v>
      </c>
      <c r="G8" s="208">
        <f>D8*E8-H57</f>
        <v>0</v>
      </c>
      <c r="H8" s="208">
        <f>F8+G8</f>
        <v>0</v>
      </c>
      <c r="I8" s="208">
        <f>F8+G8</f>
        <v>0</v>
      </c>
      <c r="J8" s="208">
        <f>(E8/3)*C8</f>
        <v>0</v>
      </c>
      <c r="K8" s="208">
        <f>(C8/5)*E8</f>
        <v>0</v>
      </c>
      <c r="L8" s="208">
        <f>(E8/3)*D8</f>
        <v>0</v>
      </c>
      <c r="M8" s="208">
        <f>(D8/5)*E8</f>
        <v>0</v>
      </c>
    </row>
    <row r="9" spans="1:17" s="8" customFormat="1" ht="15" x14ac:dyDescent="0.2">
      <c r="A9" s="206"/>
      <c r="B9" s="126"/>
      <c r="C9" s="207"/>
      <c r="D9" s="207"/>
      <c r="E9" s="207"/>
      <c r="F9" s="208">
        <f>C9*E9</f>
        <v>0</v>
      </c>
      <c r="G9" s="208">
        <f>D9*E9-H64</f>
        <v>0</v>
      </c>
      <c r="H9" s="208">
        <f>F9+G9</f>
        <v>0</v>
      </c>
      <c r="I9" s="208">
        <f>F9+G9</f>
        <v>0</v>
      </c>
      <c r="J9" s="208">
        <f>(E9/3)*C9</f>
        <v>0</v>
      </c>
      <c r="K9" s="208">
        <f>(C9/5)*E9</f>
        <v>0</v>
      </c>
      <c r="L9" s="208">
        <f>(E9/3)*D9</f>
        <v>0</v>
      </c>
      <c r="M9" s="208">
        <f>(D9/5)*E9</f>
        <v>0</v>
      </c>
    </row>
    <row r="10" spans="1:17" s="8" customFormat="1" ht="15.75" x14ac:dyDescent="0.25">
      <c r="F10" s="209">
        <f t="shared" ref="F10:M10" si="0">SUM(F5:F9)</f>
        <v>0</v>
      </c>
      <c r="G10" s="209">
        <f t="shared" si="0"/>
        <v>0</v>
      </c>
      <c r="H10" s="209">
        <f t="shared" si="0"/>
        <v>0</v>
      </c>
      <c r="I10" s="209">
        <f t="shared" si="0"/>
        <v>0</v>
      </c>
      <c r="J10" s="209">
        <f t="shared" si="0"/>
        <v>0</v>
      </c>
      <c r="K10" s="209">
        <f t="shared" si="0"/>
        <v>0</v>
      </c>
      <c r="L10" s="209">
        <f t="shared" si="0"/>
        <v>0</v>
      </c>
      <c r="M10" s="209">
        <f t="shared" si="0"/>
        <v>0</v>
      </c>
    </row>
    <row r="11" spans="1:17" s="8" customFormat="1" ht="15" x14ac:dyDescent="0.2">
      <c r="C11" s="9"/>
    </row>
    <row r="12" spans="1:17" s="8" customFormat="1" ht="15" x14ac:dyDescent="0.2">
      <c r="C12" s="9"/>
    </row>
    <row r="13" spans="1:17" s="8" customFormat="1" ht="15" x14ac:dyDescent="0.2">
      <c r="C13" s="9"/>
    </row>
    <row r="14" spans="1:17" s="8" customFormat="1" ht="15" x14ac:dyDescent="0.2">
      <c r="N14" s="210"/>
      <c r="O14" s="210"/>
      <c r="P14" s="210"/>
      <c r="Q14" s="210"/>
    </row>
    <row r="15" spans="1:17" ht="32.25" customHeight="1" x14ac:dyDescent="0.25">
      <c r="A15" s="201" t="s">
        <v>269</v>
      </c>
      <c r="B15" s="203"/>
      <c r="C15" s="204"/>
      <c r="D15" s="204"/>
      <c r="E15" s="205"/>
      <c r="F15" s="205"/>
      <c r="G15" s="205"/>
      <c r="H15" s="205"/>
      <c r="I15" s="211"/>
      <c r="J15" s="212"/>
      <c r="K15" s="148"/>
      <c r="L15" s="148"/>
      <c r="M15" s="148"/>
      <c r="N15" s="213"/>
      <c r="O15" s="139"/>
    </row>
    <row r="16" spans="1:17" ht="15.75" x14ac:dyDescent="0.25">
      <c r="A16" s="204"/>
      <c r="B16" s="204" t="s">
        <v>205</v>
      </c>
      <c r="C16" s="204" t="s">
        <v>198</v>
      </c>
      <c r="D16" s="204" t="s">
        <v>199</v>
      </c>
      <c r="E16" s="205" t="s">
        <v>270</v>
      </c>
      <c r="F16" s="205" t="s">
        <v>271</v>
      </c>
      <c r="G16" s="205" t="s">
        <v>272</v>
      </c>
      <c r="H16" s="205" t="s">
        <v>273</v>
      </c>
      <c r="I16" s="211"/>
      <c r="J16" s="212"/>
      <c r="K16" s="148"/>
      <c r="L16" s="148"/>
      <c r="M16" s="148"/>
      <c r="N16" s="213"/>
      <c r="O16" s="139"/>
    </row>
    <row r="17" spans="1:15" ht="15.75" x14ac:dyDescent="0.25">
      <c r="A17" s="204"/>
      <c r="B17" s="204" t="s">
        <v>221</v>
      </c>
      <c r="C17" s="204" t="s">
        <v>27</v>
      </c>
      <c r="D17" s="204" t="s">
        <v>27</v>
      </c>
      <c r="E17" s="205" t="s">
        <v>27</v>
      </c>
      <c r="F17" s="205" t="s">
        <v>27</v>
      </c>
      <c r="G17" s="205" t="s">
        <v>27</v>
      </c>
      <c r="H17" s="205" t="s">
        <v>5</v>
      </c>
      <c r="I17" s="211"/>
      <c r="J17" s="212"/>
      <c r="K17" s="148"/>
      <c r="L17" s="148"/>
      <c r="M17" s="148"/>
      <c r="N17" s="213"/>
      <c r="O17" s="139"/>
    </row>
    <row r="18" spans="1:15" ht="15" x14ac:dyDescent="0.2">
      <c r="A18" s="214"/>
      <c r="B18" s="126"/>
      <c r="C18" s="207"/>
      <c r="D18" s="207"/>
      <c r="E18" s="207">
        <f>D18*2*B18</f>
        <v>0</v>
      </c>
      <c r="F18" s="207">
        <f>C18*B18</f>
        <v>0</v>
      </c>
      <c r="G18" s="207">
        <f>(C18+D18+D18)*B18</f>
        <v>0</v>
      </c>
      <c r="H18" s="207">
        <f>B18*C18*D18</f>
        <v>0</v>
      </c>
      <c r="I18" s="211"/>
      <c r="J18" s="212"/>
      <c r="K18" s="148"/>
      <c r="L18" s="148"/>
      <c r="M18" s="148"/>
      <c r="N18" s="213"/>
      <c r="O18" s="139"/>
    </row>
    <row r="19" spans="1:15" ht="15" x14ac:dyDescent="0.2">
      <c r="A19" s="214"/>
      <c r="B19" s="126"/>
      <c r="C19" s="207"/>
      <c r="D19" s="207"/>
      <c r="E19" s="207">
        <f t="shared" ref="E19:E30" si="1">D19*2*B19</f>
        <v>0</v>
      </c>
      <c r="F19" s="207">
        <f t="shared" ref="F19:F30" si="2">C19*B19</f>
        <v>0</v>
      </c>
      <c r="G19" s="207">
        <f t="shared" ref="G19:G30" si="3">(C19+D19+D19)*B19</f>
        <v>0</v>
      </c>
      <c r="H19" s="207">
        <f t="shared" ref="H19:H30" si="4">B19*C19*D19</f>
        <v>0</v>
      </c>
      <c r="I19" s="211"/>
      <c r="J19" s="212"/>
      <c r="K19" s="148"/>
      <c r="L19" s="148"/>
      <c r="M19" s="148"/>
      <c r="N19" s="213"/>
      <c r="O19" s="139"/>
    </row>
    <row r="20" spans="1:15" ht="15" x14ac:dyDescent="0.2">
      <c r="A20" s="214"/>
      <c r="B20" s="126"/>
      <c r="C20" s="215"/>
      <c r="D20" s="207"/>
      <c r="E20" s="207">
        <f t="shared" si="1"/>
        <v>0</v>
      </c>
      <c r="F20" s="207">
        <f t="shared" si="2"/>
        <v>0</v>
      </c>
      <c r="G20" s="207">
        <f t="shared" si="3"/>
        <v>0</v>
      </c>
      <c r="H20" s="207">
        <f t="shared" si="4"/>
        <v>0</v>
      </c>
      <c r="I20" s="211"/>
      <c r="J20" s="212"/>
      <c r="K20" s="148"/>
      <c r="L20" s="148"/>
      <c r="M20" s="148"/>
      <c r="N20" s="213"/>
      <c r="O20" s="139"/>
    </row>
    <row r="21" spans="1:15" ht="15" x14ac:dyDescent="0.2">
      <c r="A21" s="214"/>
      <c r="B21" s="126"/>
      <c r="C21" s="215"/>
      <c r="D21" s="207"/>
      <c r="E21" s="207">
        <f t="shared" si="1"/>
        <v>0</v>
      </c>
      <c r="F21" s="207">
        <f t="shared" si="2"/>
        <v>0</v>
      </c>
      <c r="G21" s="207">
        <f t="shared" si="3"/>
        <v>0</v>
      </c>
      <c r="H21" s="207">
        <f t="shared" si="4"/>
        <v>0</v>
      </c>
      <c r="I21" s="211"/>
      <c r="J21" s="212"/>
      <c r="K21" s="148"/>
      <c r="L21" s="148"/>
      <c r="M21" s="148"/>
      <c r="N21" s="213"/>
      <c r="O21" s="139"/>
    </row>
    <row r="22" spans="1:15" ht="15" x14ac:dyDescent="0.2">
      <c r="A22" s="214"/>
      <c r="B22" s="126"/>
      <c r="C22" s="215"/>
      <c r="D22" s="207"/>
      <c r="E22" s="207">
        <f t="shared" si="1"/>
        <v>0</v>
      </c>
      <c r="F22" s="207">
        <f t="shared" si="2"/>
        <v>0</v>
      </c>
      <c r="G22" s="207">
        <f t="shared" si="3"/>
        <v>0</v>
      </c>
      <c r="H22" s="207">
        <f t="shared" si="4"/>
        <v>0</v>
      </c>
      <c r="I22" s="211"/>
      <c r="J22" s="212"/>
      <c r="K22" s="148"/>
      <c r="L22" s="148"/>
      <c r="M22" s="148"/>
      <c r="N22" s="213"/>
      <c r="O22" s="139"/>
    </row>
    <row r="23" spans="1:15" ht="15" x14ac:dyDescent="0.2">
      <c r="A23" s="214"/>
      <c r="B23" s="126"/>
      <c r="C23" s="215"/>
      <c r="D23" s="207"/>
      <c r="E23" s="207">
        <f t="shared" si="1"/>
        <v>0</v>
      </c>
      <c r="F23" s="207">
        <f t="shared" si="2"/>
        <v>0</v>
      </c>
      <c r="G23" s="207">
        <f t="shared" si="3"/>
        <v>0</v>
      </c>
      <c r="H23" s="207">
        <f t="shared" si="4"/>
        <v>0</v>
      </c>
      <c r="I23" s="211"/>
      <c r="J23" s="212"/>
      <c r="K23" s="148"/>
      <c r="L23" s="148"/>
      <c r="M23" s="148"/>
      <c r="N23" s="213"/>
      <c r="O23" s="139"/>
    </row>
    <row r="24" spans="1:15" ht="15" x14ac:dyDescent="0.2">
      <c r="A24" s="214"/>
      <c r="B24" s="126"/>
      <c r="C24" s="215"/>
      <c r="D24" s="207"/>
      <c r="E24" s="207">
        <f t="shared" si="1"/>
        <v>0</v>
      </c>
      <c r="F24" s="207">
        <f t="shared" si="2"/>
        <v>0</v>
      </c>
      <c r="G24" s="207">
        <f t="shared" si="3"/>
        <v>0</v>
      </c>
      <c r="H24" s="207">
        <f t="shared" si="4"/>
        <v>0</v>
      </c>
      <c r="I24" s="211"/>
      <c r="J24" s="212"/>
      <c r="K24" s="148"/>
      <c r="L24" s="148"/>
      <c r="M24" s="148"/>
      <c r="N24" s="213"/>
      <c r="O24" s="139"/>
    </row>
    <row r="25" spans="1:15" ht="15" x14ac:dyDescent="0.2">
      <c r="A25" s="214"/>
      <c r="B25" s="126"/>
      <c r="C25" s="215"/>
      <c r="D25" s="207"/>
      <c r="E25" s="207">
        <f t="shared" si="1"/>
        <v>0</v>
      </c>
      <c r="F25" s="207">
        <f t="shared" si="2"/>
        <v>0</v>
      </c>
      <c r="G25" s="207">
        <f t="shared" si="3"/>
        <v>0</v>
      </c>
      <c r="H25" s="207">
        <f t="shared" si="4"/>
        <v>0</v>
      </c>
      <c r="I25" s="211"/>
      <c r="J25" s="212"/>
      <c r="K25" s="148"/>
      <c r="L25" s="148"/>
      <c r="M25" s="148"/>
      <c r="N25" s="213"/>
      <c r="O25" s="139"/>
    </row>
    <row r="26" spans="1:15" ht="15" x14ac:dyDescent="0.2">
      <c r="A26" s="214"/>
      <c r="B26" s="126"/>
      <c r="C26" s="215"/>
      <c r="D26" s="207"/>
      <c r="E26" s="207">
        <f t="shared" si="1"/>
        <v>0</v>
      </c>
      <c r="F26" s="207">
        <f t="shared" si="2"/>
        <v>0</v>
      </c>
      <c r="G26" s="207">
        <f t="shared" si="3"/>
        <v>0</v>
      </c>
      <c r="H26" s="207">
        <f t="shared" si="4"/>
        <v>0</v>
      </c>
      <c r="I26" s="211"/>
      <c r="J26" s="212"/>
      <c r="K26" s="148"/>
      <c r="L26" s="148"/>
      <c r="M26" s="148"/>
      <c r="N26" s="213"/>
      <c r="O26" s="139"/>
    </row>
    <row r="27" spans="1:15" ht="15" x14ac:dyDescent="0.2">
      <c r="A27" s="214"/>
      <c r="B27" s="126"/>
      <c r="C27" s="215"/>
      <c r="D27" s="207"/>
      <c r="E27" s="207">
        <f t="shared" si="1"/>
        <v>0</v>
      </c>
      <c r="F27" s="207">
        <f t="shared" si="2"/>
        <v>0</v>
      </c>
      <c r="G27" s="207">
        <f t="shared" si="3"/>
        <v>0</v>
      </c>
      <c r="H27" s="207">
        <f t="shared" si="4"/>
        <v>0</v>
      </c>
      <c r="I27" s="211"/>
      <c r="J27" s="212"/>
      <c r="K27" s="148"/>
      <c r="L27" s="148"/>
      <c r="M27" s="148"/>
      <c r="N27" s="213"/>
      <c r="O27" s="139"/>
    </row>
    <row r="28" spans="1:15" ht="15" x14ac:dyDescent="0.2">
      <c r="A28" s="214"/>
      <c r="B28" s="126"/>
      <c r="C28" s="215"/>
      <c r="D28" s="207"/>
      <c r="E28" s="207">
        <f t="shared" si="1"/>
        <v>0</v>
      </c>
      <c r="F28" s="207">
        <f t="shared" si="2"/>
        <v>0</v>
      </c>
      <c r="G28" s="207">
        <f t="shared" si="3"/>
        <v>0</v>
      </c>
      <c r="H28" s="207">
        <f t="shared" si="4"/>
        <v>0</v>
      </c>
      <c r="I28" s="211"/>
      <c r="J28" s="212"/>
      <c r="K28" s="148"/>
      <c r="L28" s="148"/>
      <c r="M28" s="148"/>
      <c r="N28" s="213"/>
      <c r="O28" s="139"/>
    </row>
    <row r="29" spans="1:15" ht="15" x14ac:dyDescent="0.2">
      <c r="A29" s="214"/>
      <c r="B29" s="126"/>
      <c r="C29" s="215"/>
      <c r="D29" s="207"/>
      <c r="E29" s="207">
        <f t="shared" si="1"/>
        <v>0</v>
      </c>
      <c r="F29" s="207">
        <f t="shared" si="2"/>
        <v>0</v>
      </c>
      <c r="G29" s="207">
        <f t="shared" si="3"/>
        <v>0</v>
      </c>
      <c r="H29" s="207">
        <f t="shared" si="4"/>
        <v>0</v>
      </c>
      <c r="I29" s="211"/>
      <c r="J29" s="212"/>
      <c r="K29" s="148"/>
      <c r="L29" s="148"/>
      <c r="M29" s="148"/>
      <c r="N29" s="213"/>
      <c r="O29" s="139"/>
    </row>
    <row r="30" spans="1:15" ht="15" x14ac:dyDescent="0.2">
      <c r="A30" s="214"/>
      <c r="B30" s="126"/>
      <c r="C30" s="215"/>
      <c r="D30" s="207"/>
      <c r="E30" s="207">
        <f t="shared" si="1"/>
        <v>0</v>
      </c>
      <c r="F30" s="207">
        <f t="shared" si="2"/>
        <v>0</v>
      </c>
      <c r="G30" s="207">
        <f t="shared" si="3"/>
        <v>0</v>
      </c>
      <c r="H30" s="207">
        <f t="shared" si="4"/>
        <v>0</v>
      </c>
      <c r="I30" s="216"/>
      <c r="J30" s="212"/>
      <c r="K30" s="148"/>
      <c r="L30" s="148"/>
      <c r="M30" s="148"/>
      <c r="N30" s="213"/>
      <c r="O30" s="139"/>
    </row>
    <row r="31" spans="1:15" ht="15.75" x14ac:dyDescent="0.25">
      <c r="A31" s="8"/>
      <c r="B31" s="110"/>
      <c r="C31" s="217"/>
      <c r="D31" s="218"/>
      <c r="E31" s="127">
        <f>SUM(E18:E30)</f>
        <v>0</v>
      </c>
      <c r="F31" s="127">
        <f>SUM(F18:F30)</f>
        <v>0</v>
      </c>
      <c r="G31" s="127">
        <f>SUM(G18:G30)</f>
        <v>0</v>
      </c>
      <c r="H31" s="127">
        <f>SUM(H18:H30)</f>
        <v>0</v>
      </c>
      <c r="I31" s="211"/>
      <c r="J31" s="212"/>
      <c r="K31" s="148"/>
      <c r="L31" s="148"/>
      <c r="M31" s="148"/>
      <c r="N31" s="213"/>
      <c r="O31" s="139"/>
    </row>
    <row r="32" spans="1:15" x14ac:dyDescent="0.2">
      <c r="A32" s="219"/>
      <c r="B32" s="111"/>
      <c r="C32" s="156"/>
      <c r="D32" s="111"/>
      <c r="E32" s="111"/>
      <c r="F32" s="111"/>
      <c r="G32" s="111"/>
      <c r="H32" s="111"/>
      <c r="I32" s="211"/>
      <c r="J32" s="212"/>
      <c r="K32" s="148"/>
      <c r="L32" s="148"/>
      <c r="M32" s="148"/>
      <c r="N32" s="213"/>
      <c r="O32" s="139"/>
    </row>
    <row r="33" spans="1:15" ht="31.5" x14ac:dyDescent="0.25">
      <c r="A33" s="201" t="s">
        <v>274</v>
      </c>
      <c r="B33" s="203"/>
      <c r="C33" s="204"/>
      <c r="D33" s="204"/>
      <c r="E33" s="205"/>
      <c r="F33" s="205"/>
      <c r="G33" s="205"/>
      <c r="H33" s="205"/>
      <c r="I33" s="211"/>
      <c r="J33" s="212"/>
      <c r="K33" s="148"/>
      <c r="L33" s="148"/>
      <c r="M33" s="148"/>
      <c r="N33" s="213"/>
      <c r="O33" s="139"/>
    </row>
    <row r="34" spans="1:15" ht="15.75" x14ac:dyDescent="0.25">
      <c r="A34" s="204"/>
      <c r="B34" s="204" t="s">
        <v>205</v>
      </c>
      <c r="C34" s="204" t="s">
        <v>198</v>
      </c>
      <c r="D34" s="204" t="s">
        <v>199</v>
      </c>
      <c r="E34" s="205" t="s">
        <v>270</v>
      </c>
      <c r="F34" s="205" t="s">
        <v>271</v>
      </c>
      <c r="G34" s="205" t="s">
        <v>272</v>
      </c>
      <c r="H34" s="205" t="s">
        <v>273</v>
      </c>
      <c r="I34" s="8"/>
      <c r="J34" s="8"/>
      <c r="K34" s="8"/>
      <c r="L34" s="8"/>
      <c r="M34" s="8"/>
    </row>
    <row r="35" spans="1:15" ht="15.75" x14ac:dyDescent="0.25">
      <c r="A35" s="204"/>
      <c r="B35" s="204" t="s">
        <v>221</v>
      </c>
      <c r="C35" s="204" t="s">
        <v>27</v>
      </c>
      <c r="D35" s="204" t="s">
        <v>27</v>
      </c>
      <c r="E35" s="205" t="s">
        <v>27</v>
      </c>
      <c r="F35" s="205" t="s">
        <v>27</v>
      </c>
      <c r="G35" s="205" t="s">
        <v>27</v>
      </c>
      <c r="H35" s="205" t="s">
        <v>5</v>
      </c>
    </row>
    <row r="36" spans="1:15" ht="15" x14ac:dyDescent="0.2">
      <c r="A36" s="214"/>
      <c r="B36" s="126"/>
      <c r="C36" s="207"/>
      <c r="D36" s="207"/>
      <c r="E36" s="207">
        <f>D36*2*B36</f>
        <v>0</v>
      </c>
      <c r="F36" s="207">
        <f>C36*B36</f>
        <v>0</v>
      </c>
      <c r="G36" s="207">
        <f>(C36+D36+D36)*B36</f>
        <v>0</v>
      </c>
      <c r="H36" s="207">
        <f>B36*C36*D36</f>
        <v>0</v>
      </c>
    </row>
    <row r="37" spans="1:15" ht="15" x14ac:dyDescent="0.2">
      <c r="A37" s="214"/>
      <c r="B37" s="126"/>
      <c r="C37" s="207"/>
      <c r="D37" s="207"/>
      <c r="E37" s="207">
        <f>D37*2*B37</f>
        <v>0</v>
      </c>
      <c r="F37" s="207">
        <f>C37*B37</f>
        <v>0</v>
      </c>
      <c r="G37" s="207">
        <f>(C37+D37+D37)*B37</f>
        <v>0</v>
      </c>
      <c r="H37" s="207">
        <f>B37*C37*D37</f>
        <v>0</v>
      </c>
    </row>
    <row r="38" spans="1:15" ht="15" x14ac:dyDescent="0.2">
      <c r="A38" s="214"/>
      <c r="B38" s="126"/>
      <c r="C38" s="215"/>
      <c r="D38" s="207"/>
      <c r="E38" s="207">
        <f>D38*2*B38</f>
        <v>0</v>
      </c>
      <c r="F38" s="207">
        <f>C38*B38</f>
        <v>0</v>
      </c>
      <c r="G38" s="207">
        <f>(C38+D38+D38)*B38</f>
        <v>0</v>
      </c>
      <c r="H38" s="207">
        <f>B38*C38*D38</f>
        <v>0</v>
      </c>
    </row>
    <row r="39" spans="1:15" ht="15" x14ac:dyDescent="0.2">
      <c r="A39" s="214"/>
      <c r="B39" s="126"/>
      <c r="C39" s="215"/>
      <c r="D39" s="207"/>
      <c r="E39" s="207">
        <f>D39*2*B39</f>
        <v>0</v>
      </c>
      <c r="F39" s="207">
        <f>C39*B39</f>
        <v>0</v>
      </c>
      <c r="G39" s="207">
        <f>(C39+D39+D39)*B39</f>
        <v>0</v>
      </c>
      <c r="H39" s="207">
        <f>B39*C39*D39</f>
        <v>0</v>
      </c>
    </row>
    <row r="40" spans="1:15" ht="15" x14ac:dyDescent="0.2">
      <c r="A40" s="214"/>
      <c r="B40" s="126"/>
      <c r="C40" s="215"/>
      <c r="D40" s="207"/>
      <c r="E40" s="207">
        <f>D40*2*B40</f>
        <v>0</v>
      </c>
      <c r="F40" s="207">
        <f>C40*B40</f>
        <v>0</v>
      </c>
      <c r="G40" s="207">
        <f>(C40+D40+D40)*B40</f>
        <v>0</v>
      </c>
      <c r="H40" s="207">
        <f>B40*C40*D40</f>
        <v>0</v>
      </c>
    </row>
    <row r="41" spans="1:15" ht="15.75" x14ac:dyDescent="0.25">
      <c r="A41" s="8"/>
      <c r="B41" s="110"/>
      <c r="C41" s="217"/>
      <c r="D41" s="218"/>
      <c r="E41" s="127">
        <f>SUM(E36:E40)</f>
        <v>0</v>
      </c>
      <c r="F41" s="127">
        <f>SUM(F36:F40)</f>
        <v>0</v>
      </c>
      <c r="G41" s="127">
        <f>SUM(G36:G40)</f>
        <v>0</v>
      </c>
      <c r="H41" s="127">
        <f>SUM(H36:H40)</f>
        <v>0</v>
      </c>
    </row>
    <row r="43" spans="1:15" ht="31.5" x14ac:dyDescent="0.25">
      <c r="A43" s="201" t="s">
        <v>275</v>
      </c>
      <c r="B43" s="203"/>
      <c r="C43" s="204"/>
      <c r="D43" s="204"/>
      <c r="E43" s="205"/>
      <c r="F43" s="205"/>
      <c r="G43" s="205"/>
      <c r="H43" s="205"/>
    </row>
    <row r="44" spans="1:15" ht="15.75" x14ac:dyDescent="0.25">
      <c r="A44" s="204"/>
      <c r="B44" s="204" t="s">
        <v>205</v>
      </c>
      <c r="C44" s="204" t="s">
        <v>198</v>
      </c>
      <c r="D44" s="204" t="s">
        <v>199</v>
      </c>
      <c r="E44" s="205" t="s">
        <v>270</v>
      </c>
      <c r="F44" s="205" t="s">
        <v>271</v>
      </c>
      <c r="G44" s="205" t="s">
        <v>272</v>
      </c>
      <c r="H44" s="205" t="s">
        <v>273</v>
      </c>
    </row>
    <row r="45" spans="1:15" ht="15.75" x14ac:dyDescent="0.25">
      <c r="A45" s="204"/>
      <c r="B45" s="204" t="s">
        <v>221</v>
      </c>
      <c r="C45" s="204" t="s">
        <v>27</v>
      </c>
      <c r="D45" s="204" t="s">
        <v>27</v>
      </c>
      <c r="E45" s="205" t="s">
        <v>27</v>
      </c>
      <c r="F45" s="205" t="s">
        <v>27</v>
      </c>
      <c r="G45" s="205" t="s">
        <v>27</v>
      </c>
      <c r="H45" s="205" t="s">
        <v>5</v>
      </c>
    </row>
    <row r="46" spans="1:15" ht="15" x14ac:dyDescent="0.2">
      <c r="A46" s="214"/>
      <c r="B46" s="126"/>
      <c r="C46" s="207"/>
      <c r="D46" s="207"/>
      <c r="E46" s="207">
        <f>D46*2*B46</f>
        <v>0</v>
      </c>
      <c r="F46" s="207">
        <f>C46*B46</f>
        <v>0</v>
      </c>
      <c r="G46" s="207">
        <f>(C46+D46+D46)*B46</f>
        <v>0</v>
      </c>
      <c r="H46" s="207">
        <f>B46*C46*D46</f>
        <v>0</v>
      </c>
    </row>
    <row r="47" spans="1:15" ht="15" x14ac:dyDescent="0.2">
      <c r="A47" s="214"/>
      <c r="B47" s="126"/>
      <c r="C47" s="207"/>
      <c r="D47" s="207"/>
      <c r="E47" s="207">
        <f>D47*2*B47</f>
        <v>0</v>
      </c>
      <c r="F47" s="207">
        <f>C47*B47</f>
        <v>0</v>
      </c>
      <c r="G47" s="207">
        <f>(C47+D47+D47)*B47</f>
        <v>0</v>
      </c>
      <c r="H47" s="207">
        <f>B47*C47*D47</f>
        <v>0</v>
      </c>
    </row>
    <row r="48" spans="1:15" ht="15" x14ac:dyDescent="0.2">
      <c r="A48" s="214"/>
      <c r="B48" s="126"/>
      <c r="C48" s="215"/>
      <c r="D48" s="207"/>
      <c r="E48" s="207">
        <f>D48*2*B48</f>
        <v>0</v>
      </c>
      <c r="F48" s="207">
        <f>C48*B48</f>
        <v>0</v>
      </c>
      <c r="G48" s="207">
        <f>(C48+D48+D48)*B48</f>
        <v>0</v>
      </c>
      <c r="H48" s="207">
        <f>B48*C48*D48</f>
        <v>0</v>
      </c>
    </row>
    <row r="49" spans="1:15" ht="15" x14ac:dyDescent="0.2">
      <c r="A49" s="214"/>
      <c r="B49" s="126"/>
      <c r="C49" s="215"/>
      <c r="D49" s="207"/>
      <c r="E49" s="207">
        <f>D49*2*B49</f>
        <v>0</v>
      </c>
      <c r="F49" s="207">
        <f>C49*B49</f>
        <v>0</v>
      </c>
      <c r="G49" s="207">
        <f>(C49+D49+D49)*B49</f>
        <v>0</v>
      </c>
      <c r="H49" s="207">
        <f>B49*C49*D49</f>
        <v>0</v>
      </c>
      <c r="I49" s="211"/>
      <c r="J49" s="212"/>
      <c r="K49" s="148"/>
      <c r="L49" s="148"/>
      <c r="M49" s="148"/>
      <c r="N49" s="213"/>
      <c r="O49" s="139"/>
    </row>
    <row r="50" spans="1:15" ht="15" x14ac:dyDescent="0.2">
      <c r="A50" s="214"/>
      <c r="B50" s="126"/>
      <c r="C50" s="215"/>
      <c r="D50" s="207"/>
      <c r="E50" s="207">
        <f>D50*2*B50</f>
        <v>0</v>
      </c>
      <c r="F50" s="207">
        <f>C50*B50</f>
        <v>0</v>
      </c>
      <c r="G50" s="207">
        <f>(C50+D50+D50)*B50</f>
        <v>0</v>
      </c>
      <c r="H50" s="207">
        <f>B50*C50*D50</f>
        <v>0</v>
      </c>
    </row>
    <row r="51" spans="1:15" ht="15.75" x14ac:dyDescent="0.25">
      <c r="A51" s="8"/>
      <c r="B51" s="110"/>
      <c r="C51" s="217"/>
      <c r="D51" s="218"/>
      <c r="E51" s="127">
        <f>SUM(E46:E50)</f>
        <v>0</v>
      </c>
      <c r="F51" s="127">
        <f>SUM(F46:F50)</f>
        <v>0</v>
      </c>
      <c r="G51" s="127">
        <f>SUM(G46:G50)</f>
        <v>0</v>
      </c>
      <c r="H51" s="127">
        <f>SUM(H46:H50)</f>
        <v>0</v>
      </c>
    </row>
    <row r="53" spans="1:15" ht="31.5" x14ac:dyDescent="0.25">
      <c r="A53" s="201" t="s">
        <v>276</v>
      </c>
      <c r="B53" s="203"/>
      <c r="C53" s="204"/>
      <c r="D53" s="204"/>
      <c r="E53" s="205"/>
      <c r="F53" s="205"/>
      <c r="G53" s="205"/>
      <c r="H53" s="205"/>
    </row>
    <row r="54" spans="1:15" ht="15.75" x14ac:dyDescent="0.25">
      <c r="A54" s="204"/>
      <c r="B54" s="204" t="s">
        <v>205</v>
      </c>
      <c r="C54" s="204" t="s">
        <v>198</v>
      </c>
      <c r="D54" s="204" t="s">
        <v>199</v>
      </c>
      <c r="E54" s="205" t="s">
        <v>270</v>
      </c>
      <c r="F54" s="205" t="s">
        <v>271</v>
      </c>
      <c r="G54" s="205" t="s">
        <v>272</v>
      </c>
      <c r="H54" s="205" t="s">
        <v>273</v>
      </c>
    </row>
    <row r="55" spans="1:15" ht="15.75" x14ac:dyDescent="0.25">
      <c r="A55" s="204"/>
      <c r="B55" s="204" t="s">
        <v>221</v>
      </c>
      <c r="C55" s="204" t="s">
        <v>27</v>
      </c>
      <c r="D55" s="204" t="s">
        <v>27</v>
      </c>
      <c r="E55" s="205" t="s">
        <v>27</v>
      </c>
      <c r="F55" s="205" t="s">
        <v>27</v>
      </c>
      <c r="G55" s="205" t="s">
        <v>27</v>
      </c>
      <c r="H55" s="205" t="s">
        <v>5</v>
      </c>
    </row>
    <row r="56" spans="1:15" ht="15" x14ac:dyDescent="0.2">
      <c r="A56" s="214"/>
      <c r="B56" s="126"/>
      <c r="C56" s="215"/>
      <c r="D56" s="207"/>
      <c r="E56" s="207">
        <f>D56*2*B56</f>
        <v>0</v>
      </c>
      <c r="F56" s="207">
        <f>C56*B56</f>
        <v>0</v>
      </c>
      <c r="G56" s="207">
        <f>(C56+D56+D56)*B56</f>
        <v>0</v>
      </c>
      <c r="H56" s="207">
        <f>B56*C56*D56</f>
        <v>0</v>
      </c>
    </row>
    <row r="57" spans="1:15" ht="15.75" x14ac:dyDescent="0.25">
      <c r="A57" s="8"/>
      <c r="B57" s="110"/>
      <c r="C57" s="217"/>
      <c r="D57" s="218"/>
      <c r="E57" s="127">
        <f>SUM(E56:E56)</f>
        <v>0</v>
      </c>
      <c r="F57" s="127">
        <f>SUM(F56:F56)</f>
        <v>0</v>
      </c>
      <c r="G57" s="127">
        <f>SUM(G56:G56)</f>
        <v>0</v>
      </c>
      <c r="H57" s="127">
        <f>SUM(H56:H56)</f>
        <v>0</v>
      </c>
    </row>
    <row r="59" spans="1:15" ht="31.5" x14ac:dyDescent="0.25">
      <c r="A59" s="201" t="s">
        <v>277</v>
      </c>
      <c r="B59" s="203"/>
      <c r="C59" s="204"/>
      <c r="D59" s="204"/>
      <c r="E59" s="205"/>
      <c r="F59" s="205"/>
      <c r="G59" s="205"/>
      <c r="H59" s="205"/>
    </row>
    <row r="60" spans="1:15" ht="15.75" x14ac:dyDescent="0.25">
      <c r="A60" s="204"/>
      <c r="B60" s="204" t="s">
        <v>205</v>
      </c>
      <c r="C60" s="204" t="s">
        <v>198</v>
      </c>
      <c r="D60" s="204" t="s">
        <v>199</v>
      </c>
      <c r="E60" s="205" t="s">
        <v>270</v>
      </c>
      <c r="F60" s="205" t="s">
        <v>271</v>
      </c>
      <c r="G60" s="205" t="s">
        <v>272</v>
      </c>
      <c r="H60" s="205" t="s">
        <v>273</v>
      </c>
    </row>
    <row r="61" spans="1:15" ht="15.75" x14ac:dyDescent="0.25">
      <c r="A61" s="204"/>
      <c r="B61" s="204" t="s">
        <v>221</v>
      </c>
      <c r="C61" s="204" t="s">
        <v>27</v>
      </c>
      <c r="D61" s="204" t="s">
        <v>27</v>
      </c>
      <c r="E61" s="205" t="s">
        <v>27</v>
      </c>
      <c r="F61" s="205" t="s">
        <v>27</v>
      </c>
      <c r="G61" s="205" t="s">
        <v>27</v>
      </c>
      <c r="H61" s="205" t="s">
        <v>5</v>
      </c>
    </row>
    <row r="62" spans="1:15" ht="15" x14ac:dyDescent="0.2">
      <c r="A62" s="214"/>
      <c r="B62" s="126"/>
      <c r="C62" s="207"/>
      <c r="D62" s="207"/>
      <c r="E62" s="207">
        <f>D62*2*B62</f>
        <v>0</v>
      </c>
      <c r="F62" s="207">
        <f>C62*B62</f>
        <v>0</v>
      </c>
      <c r="G62" s="207">
        <f>(C62+D62+D62)*B62</f>
        <v>0</v>
      </c>
      <c r="H62" s="207">
        <f>B62*C62*D62</f>
        <v>0</v>
      </c>
    </row>
    <row r="63" spans="1:15" ht="15" x14ac:dyDescent="0.2">
      <c r="A63" s="214"/>
      <c r="B63" s="126"/>
      <c r="C63" s="215"/>
      <c r="D63" s="207"/>
      <c r="E63" s="207">
        <f>D63*2*B63</f>
        <v>0</v>
      </c>
      <c r="F63" s="207">
        <f>C63*B63</f>
        <v>0</v>
      </c>
      <c r="G63" s="207">
        <f>(C63+D63+D63)*B63</f>
        <v>0</v>
      </c>
      <c r="H63" s="207">
        <f>B63*C63*D63</f>
        <v>0</v>
      </c>
    </row>
    <row r="64" spans="1:15" ht="15.75" x14ac:dyDescent="0.25">
      <c r="A64" s="8"/>
      <c r="B64" s="110"/>
      <c r="C64" s="217"/>
      <c r="D64" s="218"/>
      <c r="E64" s="127">
        <f>SUM(E62:E63)</f>
        <v>0</v>
      </c>
      <c r="F64" s="127">
        <f>SUM(F62:F63)</f>
        <v>0</v>
      </c>
      <c r="G64" s="127">
        <f>SUM(G62:G63)</f>
        <v>0</v>
      </c>
      <c r="H64" s="127">
        <f>SUM(H62:H63)</f>
        <v>0</v>
      </c>
    </row>
  </sheetData>
  <pageMargins left="0.75" right="0.75" top="1" bottom="1" header="0" footer="0"/>
  <pageSetup paperSize="9" orientation="portrait" horizontalDpi="200" verticalDpi="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262A-3E93-4CAD-BFD7-3873D536A464}">
  <sheetPr codeName="Sheet8">
    <tabColor theme="0"/>
  </sheetPr>
  <dimension ref="A4:V32"/>
  <sheetViews>
    <sheetView zoomScaleNormal="100" workbookViewId="0">
      <selection activeCell="C11" sqref="C11:D11"/>
    </sheetView>
  </sheetViews>
  <sheetFormatPr defaultColWidth="11.42578125" defaultRowHeight="12.75" x14ac:dyDescent="0.2"/>
  <cols>
    <col min="1" max="3" width="14.28515625" style="7" bestFit="1" customWidth="1"/>
    <col min="4" max="4" width="13.28515625" style="7" customWidth="1"/>
    <col min="5" max="6" width="11.42578125" style="7" customWidth="1"/>
    <col min="7" max="7" width="11.42578125" style="142" customWidth="1"/>
    <col min="8" max="8" width="13.28515625" style="142" customWidth="1"/>
    <col min="9" max="12" width="11.42578125" style="7" customWidth="1"/>
    <col min="13" max="14" width="11.42578125" style="140" customWidth="1"/>
    <col min="15" max="256" width="11.42578125" style="7"/>
    <col min="257" max="259" width="14.28515625" style="7" bestFit="1" customWidth="1"/>
    <col min="260" max="260" width="13.28515625" style="7" customWidth="1"/>
    <col min="261" max="263" width="11.42578125" style="7"/>
    <col min="264" max="264" width="13.28515625" style="7" customWidth="1"/>
    <col min="265" max="512" width="11.42578125" style="7"/>
    <col min="513" max="515" width="14.28515625" style="7" bestFit="1" customWidth="1"/>
    <col min="516" max="516" width="13.28515625" style="7" customWidth="1"/>
    <col min="517" max="519" width="11.42578125" style="7"/>
    <col min="520" max="520" width="13.28515625" style="7" customWidth="1"/>
    <col min="521" max="768" width="11.42578125" style="7"/>
    <col min="769" max="771" width="14.28515625" style="7" bestFit="1" customWidth="1"/>
    <col min="772" max="772" width="13.28515625" style="7" customWidth="1"/>
    <col min="773" max="775" width="11.42578125" style="7"/>
    <col min="776" max="776" width="13.28515625" style="7" customWidth="1"/>
    <col min="777" max="1024" width="11.42578125" style="7"/>
    <col min="1025" max="1027" width="14.28515625" style="7" bestFit="1" customWidth="1"/>
    <col min="1028" max="1028" width="13.28515625" style="7" customWidth="1"/>
    <col min="1029" max="1031" width="11.42578125" style="7"/>
    <col min="1032" max="1032" width="13.28515625" style="7" customWidth="1"/>
    <col min="1033" max="1280" width="11.42578125" style="7"/>
    <col min="1281" max="1283" width="14.28515625" style="7" bestFit="1" customWidth="1"/>
    <col min="1284" max="1284" width="13.28515625" style="7" customWidth="1"/>
    <col min="1285" max="1287" width="11.42578125" style="7"/>
    <col min="1288" max="1288" width="13.28515625" style="7" customWidth="1"/>
    <col min="1289" max="1536" width="11.42578125" style="7"/>
    <col min="1537" max="1539" width="14.28515625" style="7" bestFit="1" customWidth="1"/>
    <col min="1540" max="1540" width="13.28515625" style="7" customWidth="1"/>
    <col min="1541" max="1543" width="11.42578125" style="7"/>
    <col min="1544" max="1544" width="13.28515625" style="7" customWidth="1"/>
    <col min="1545" max="1792" width="11.42578125" style="7"/>
    <col min="1793" max="1795" width="14.28515625" style="7" bestFit="1" customWidth="1"/>
    <col min="1796" max="1796" width="13.28515625" style="7" customWidth="1"/>
    <col min="1797" max="1799" width="11.42578125" style="7"/>
    <col min="1800" max="1800" width="13.28515625" style="7" customWidth="1"/>
    <col min="1801" max="2048" width="11.42578125" style="7"/>
    <col min="2049" max="2051" width="14.28515625" style="7" bestFit="1" customWidth="1"/>
    <col min="2052" max="2052" width="13.28515625" style="7" customWidth="1"/>
    <col min="2053" max="2055" width="11.42578125" style="7"/>
    <col min="2056" max="2056" width="13.28515625" style="7" customWidth="1"/>
    <col min="2057" max="2304" width="11.42578125" style="7"/>
    <col min="2305" max="2307" width="14.28515625" style="7" bestFit="1" customWidth="1"/>
    <col min="2308" max="2308" width="13.28515625" style="7" customWidth="1"/>
    <col min="2309" max="2311" width="11.42578125" style="7"/>
    <col min="2312" max="2312" width="13.28515625" style="7" customWidth="1"/>
    <col min="2313" max="2560" width="11.42578125" style="7"/>
    <col min="2561" max="2563" width="14.28515625" style="7" bestFit="1" customWidth="1"/>
    <col min="2564" max="2564" width="13.28515625" style="7" customWidth="1"/>
    <col min="2565" max="2567" width="11.42578125" style="7"/>
    <col min="2568" max="2568" width="13.28515625" style="7" customWidth="1"/>
    <col min="2569" max="2816" width="11.42578125" style="7"/>
    <col min="2817" max="2819" width="14.28515625" style="7" bestFit="1" customWidth="1"/>
    <col min="2820" max="2820" width="13.28515625" style="7" customWidth="1"/>
    <col min="2821" max="2823" width="11.42578125" style="7"/>
    <col min="2824" max="2824" width="13.28515625" style="7" customWidth="1"/>
    <col min="2825" max="3072" width="11.42578125" style="7"/>
    <col min="3073" max="3075" width="14.28515625" style="7" bestFit="1" customWidth="1"/>
    <col min="3076" max="3076" width="13.28515625" style="7" customWidth="1"/>
    <col min="3077" max="3079" width="11.42578125" style="7"/>
    <col min="3080" max="3080" width="13.28515625" style="7" customWidth="1"/>
    <col min="3081" max="3328" width="11.42578125" style="7"/>
    <col min="3329" max="3331" width="14.28515625" style="7" bestFit="1" customWidth="1"/>
    <col min="3332" max="3332" width="13.28515625" style="7" customWidth="1"/>
    <col min="3333" max="3335" width="11.42578125" style="7"/>
    <col min="3336" max="3336" width="13.28515625" style="7" customWidth="1"/>
    <col min="3337" max="3584" width="11.42578125" style="7"/>
    <col min="3585" max="3587" width="14.28515625" style="7" bestFit="1" customWidth="1"/>
    <col min="3588" max="3588" width="13.28515625" style="7" customWidth="1"/>
    <col min="3589" max="3591" width="11.42578125" style="7"/>
    <col min="3592" max="3592" width="13.28515625" style="7" customWidth="1"/>
    <col min="3593" max="3840" width="11.42578125" style="7"/>
    <col min="3841" max="3843" width="14.28515625" style="7" bestFit="1" customWidth="1"/>
    <col min="3844" max="3844" width="13.28515625" style="7" customWidth="1"/>
    <col min="3845" max="3847" width="11.42578125" style="7"/>
    <col min="3848" max="3848" width="13.28515625" style="7" customWidth="1"/>
    <col min="3849" max="4096" width="11.42578125" style="7"/>
    <col min="4097" max="4099" width="14.28515625" style="7" bestFit="1" customWidth="1"/>
    <col min="4100" max="4100" width="13.28515625" style="7" customWidth="1"/>
    <col min="4101" max="4103" width="11.42578125" style="7"/>
    <col min="4104" max="4104" width="13.28515625" style="7" customWidth="1"/>
    <col min="4105" max="4352" width="11.42578125" style="7"/>
    <col min="4353" max="4355" width="14.28515625" style="7" bestFit="1" customWidth="1"/>
    <col min="4356" max="4356" width="13.28515625" style="7" customWidth="1"/>
    <col min="4357" max="4359" width="11.42578125" style="7"/>
    <col min="4360" max="4360" width="13.28515625" style="7" customWidth="1"/>
    <col min="4361" max="4608" width="11.42578125" style="7"/>
    <col min="4609" max="4611" width="14.28515625" style="7" bestFit="1" customWidth="1"/>
    <col min="4612" max="4612" width="13.28515625" style="7" customWidth="1"/>
    <col min="4613" max="4615" width="11.42578125" style="7"/>
    <col min="4616" max="4616" width="13.28515625" style="7" customWidth="1"/>
    <col min="4617" max="4864" width="11.42578125" style="7"/>
    <col min="4865" max="4867" width="14.28515625" style="7" bestFit="1" customWidth="1"/>
    <col min="4868" max="4868" width="13.28515625" style="7" customWidth="1"/>
    <col min="4869" max="4871" width="11.42578125" style="7"/>
    <col min="4872" max="4872" width="13.28515625" style="7" customWidth="1"/>
    <col min="4873" max="5120" width="11.42578125" style="7"/>
    <col min="5121" max="5123" width="14.28515625" style="7" bestFit="1" customWidth="1"/>
    <col min="5124" max="5124" width="13.28515625" style="7" customWidth="1"/>
    <col min="5125" max="5127" width="11.42578125" style="7"/>
    <col min="5128" max="5128" width="13.28515625" style="7" customWidth="1"/>
    <col min="5129" max="5376" width="11.42578125" style="7"/>
    <col min="5377" max="5379" width="14.28515625" style="7" bestFit="1" customWidth="1"/>
    <col min="5380" max="5380" width="13.28515625" style="7" customWidth="1"/>
    <col min="5381" max="5383" width="11.42578125" style="7"/>
    <col min="5384" max="5384" width="13.28515625" style="7" customWidth="1"/>
    <col min="5385" max="5632" width="11.42578125" style="7"/>
    <col min="5633" max="5635" width="14.28515625" style="7" bestFit="1" customWidth="1"/>
    <col min="5636" max="5636" width="13.28515625" style="7" customWidth="1"/>
    <col min="5637" max="5639" width="11.42578125" style="7"/>
    <col min="5640" max="5640" width="13.28515625" style="7" customWidth="1"/>
    <col min="5641" max="5888" width="11.42578125" style="7"/>
    <col min="5889" max="5891" width="14.28515625" style="7" bestFit="1" customWidth="1"/>
    <col min="5892" max="5892" width="13.28515625" style="7" customWidth="1"/>
    <col min="5893" max="5895" width="11.42578125" style="7"/>
    <col min="5896" max="5896" width="13.28515625" style="7" customWidth="1"/>
    <col min="5897" max="6144" width="11.42578125" style="7"/>
    <col min="6145" max="6147" width="14.28515625" style="7" bestFit="1" customWidth="1"/>
    <col min="6148" max="6148" width="13.28515625" style="7" customWidth="1"/>
    <col min="6149" max="6151" width="11.42578125" style="7"/>
    <col min="6152" max="6152" width="13.28515625" style="7" customWidth="1"/>
    <col min="6153" max="6400" width="11.42578125" style="7"/>
    <col min="6401" max="6403" width="14.28515625" style="7" bestFit="1" customWidth="1"/>
    <col min="6404" max="6404" width="13.28515625" style="7" customWidth="1"/>
    <col min="6405" max="6407" width="11.42578125" style="7"/>
    <col min="6408" max="6408" width="13.28515625" style="7" customWidth="1"/>
    <col min="6409" max="6656" width="11.42578125" style="7"/>
    <col min="6657" max="6659" width="14.28515625" style="7" bestFit="1" customWidth="1"/>
    <col min="6660" max="6660" width="13.28515625" style="7" customWidth="1"/>
    <col min="6661" max="6663" width="11.42578125" style="7"/>
    <col min="6664" max="6664" width="13.28515625" style="7" customWidth="1"/>
    <col min="6665" max="6912" width="11.42578125" style="7"/>
    <col min="6913" max="6915" width="14.28515625" style="7" bestFit="1" customWidth="1"/>
    <col min="6916" max="6916" width="13.28515625" style="7" customWidth="1"/>
    <col min="6917" max="6919" width="11.42578125" style="7"/>
    <col min="6920" max="6920" width="13.28515625" style="7" customWidth="1"/>
    <col min="6921" max="7168" width="11.42578125" style="7"/>
    <col min="7169" max="7171" width="14.28515625" style="7" bestFit="1" customWidth="1"/>
    <col min="7172" max="7172" width="13.28515625" style="7" customWidth="1"/>
    <col min="7173" max="7175" width="11.42578125" style="7"/>
    <col min="7176" max="7176" width="13.28515625" style="7" customWidth="1"/>
    <col min="7177" max="7424" width="11.42578125" style="7"/>
    <col min="7425" max="7427" width="14.28515625" style="7" bestFit="1" customWidth="1"/>
    <col min="7428" max="7428" width="13.28515625" style="7" customWidth="1"/>
    <col min="7429" max="7431" width="11.42578125" style="7"/>
    <col min="7432" max="7432" width="13.28515625" style="7" customWidth="1"/>
    <col min="7433" max="7680" width="11.42578125" style="7"/>
    <col min="7681" max="7683" width="14.28515625" style="7" bestFit="1" customWidth="1"/>
    <col min="7684" max="7684" width="13.28515625" style="7" customWidth="1"/>
    <col min="7685" max="7687" width="11.42578125" style="7"/>
    <col min="7688" max="7688" width="13.28515625" style="7" customWidth="1"/>
    <col min="7689" max="7936" width="11.42578125" style="7"/>
    <col min="7937" max="7939" width="14.28515625" style="7" bestFit="1" customWidth="1"/>
    <col min="7940" max="7940" width="13.28515625" style="7" customWidth="1"/>
    <col min="7941" max="7943" width="11.42578125" style="7"/>
    <col min="7944" max="7944" width="13.28515625" style="7" customWidth="1"/>
    <col min="7945" max="8192" width="11.42578125" style="7"/>
    <col min="8193" max="8195" width="14.28515625" style="7" bestFit="1" customWidth="1"/>
    <col min="8196" max="8196" width="13.28515625" style="7" customWidth="1"/>
    <col min="8197" max="8199" width="11.42578125" style="7"/>
    <col min="8200" max="8200" width="13.28515625" style="7" customWidth="1"/>
    <col min="8201" max="8448" width="11.42578125" style="7"/>
    <col min="8449" max="8451" width="14.28515625" style="7" bestFit="1" customWidth="1"/>
    <col min="8452" max="8452" width="13.28515625" style="7" customWidth="1"/>
    <col min="8453" max="8455" width="11.42578125" style="7"/>
    <col min="8456" max="8456" width="13.28515625" style="7" customWidth="1"/>
    <col min="8457" max="8704" width="11.42578125" style="7"/>
    <col min="8705" max="8707" width="14.28515625" style="7" bestFit="1" customWidth="1"/>
    <col min="8708" max="8708" width="13.28515625" style="7" customWidth="1"/>
    <col min="8709" max="8711" width="11.42578125" style="7"/>
    <col min="8712" max="8712" width="13.28515625" style="7" customWidth="1"/>
    <col min="8713" max="8960" width="11.42578125" style="7"/>
    <col min="8961" max="8963" width="14.28515625" style="7" bestFit="1" customWidth="1"/>
    <col min="8964" max="8964" width="13.28515625" style="7" customWidth="1"/>
    <col min="8965" max="8967" width="11.42578125" style="7"/>
    <col min="8968" max="8968" width="13.28515625" style="7" customWidth="1"/>
    <col min="8969" max="9216" width="11.42578125" style="7"/>
    <col min="9217" max="9219" width="14.28515625" style="7" bestFit="1" customWidth="1"/>
    <col min="9220" max="9220" width="13.28515625" style="7" customWidth="1"/>
    <col min="9221" max="9223" width="11.42578125" style="7"/>
    <col min="9224" max="9224" width="13.28515625" style="7" customWidth="1"/>
    <col min="9225" max="9472" width="11.42578125" style="7"/>
    <col min="9473" max="9475" width="14.28515625" style="7" bestFit="1" customWidth="1"/>
    <col min="9476" max="9476" width="13.28515625" style="7" customWidth="1"/>
    <col min="9477" max="9479" width="11.42578125" style="7"/>
    <col min="9480" max="9480" width="13.28515625" style="7" customWidth="1"/>
    <col min="9481" max="9728" width="11.42578125" style="7"/>
    <col min="9729" max="9731" width="14.28515625" style="7" bestFit="1" customWidth="1"/>
    <col min="9732" max="9732" width="13.28515625" style="7" customWidth="1"/>
    <col min="9733" max="9735" width="11.42578125" style="7"/>
    <col min="9736" max="9736" width="13.28515625" style="7" customWidth="1"/>
    <col min="9737" max="9984" width="11.42578125" style="7"/>
    <col min="9985" max="9987" width="14.28515625" style="7" bestFit="1" customWidth="1"/>
    <col min="9988" max="9988" width="13.28515625" style="7" customWidth="1"/>
    <col min="9989" max="9991" width="11.42578125" style="7"/>
    <col min="9992" max="9992" width="13.28515625" style="7" customWidth="1"/>
    <col min="9993" max="10240" width="11.42578125" style="7"/>
    <col min="10241" max="10243" width="14.28515625" style="7" bestFit="1" customWidth="1"/>
    <col min="10244" max="10244" width="13.28515625" style="7" customWidth="1"/>
    <col min="10245" max="10247" width="11.42578125" style="7"/>
    <col min="10248" max="10248" width="13.28515625" style="7" customWidth="1"/>
    <col min="10249" max="10496" width="11.42578125" style="7"/>
    <col min="10497" max="10499" width="14.28515625" style="7" bestFit="1" customWidth="1"/>
    <col min="10500" max="10500" width="13.28515625" style="7" customWidth="1"/>
    <col min="10501" max="10503" width="11.42578125" style="7"/>
    <col min="10504" max="10504" width="13.28515625" style="7" customWidth="1"/>
    <col min="10505" max="10752" width="11.42578125" style="7"/>
    <col min="10753" max="10755" width="14.28515625" style="7" bestFit="1" customWidth="1"/>
    <col min="10756" max="10756" width="13.28515625" style="7" customWidth="1"/>
    <col min="10757" max="10759" width="11.42578125" style="7"/>
    <col min="10760" max="10760" width="13.28515625" style="7" customWidth="1"/>
    <col min="10761" max="11008" width="11.42578125" style="7"/>
    <col min="11009" max="11011" width="14.28515625" style="7" bestFit="1" customWidth="1"/>
    <col min="11012" max="11012" width="13.28515625" style="7" customWidth="1"/>
    <col min="11013" max="11015" width="11.42578125" style="7"/>
    <col min="11016" max="11016" width="13.28515625" style="7" customWidth="1"/>
    <col min="11017" max="11264" width="11.42578125" style="7"/>
    <col min="11265" max="11267" width="14.28515625" style="7" bestFit="1" customWidth="1"/>
    <col min="11268" max="11268" width="13.28515625" style="7" customWidth="1"/>
    <col min="11269" max="11271" width="11.42578125" style="7"/>
    <col min="11272" max="11272" width="13.28515625" style="7" customWidth="1"/>
    <col min="11273" max="11520" width="11.42578125" style="7"/>
    <col min="11521" max="11523" width="14.28515625" style="7" bestFit="1" customWidth="1"/>
    <col min="11524" max="11524" width="13.28515625" style="7" customWidth="1"/>
    <col min="11525" max="11527" width="11.42578125" style="7"/>
    <col min="11528" max="11528" width="13.28515625" style="7" customWidth="1"/>
    <col min="11529" max="11776" width="11.42578125" style="7"/>
    <col min="11777" max="11779" width="14.28515625" style="7" bestFit="1" customWidth="1"/>
    <col min="11780" max="11780" width="13.28515625" style="7" customWidth="1"/>
    <col min="11781" max="11783" width="11.42578125" style="7"/>
    <col min="11784" max="11784" width="13.28515625" style="7" customWidth="1"/>
    <col min="11785" max="12032" width="11.42578125" style="7"/>
    <col min="12033" max="12035" width="14.28515625" style="7" bestFit="1" customWidth="1"/>
    <col min="12036" max="12036" width="13.28515625" style="7" customWidth="1"/>
    <col min="12037" max="12039" width="11.42578125" style="7"/>
    <col min="12040" max="12040" width="13.28515625" style="7" customWidth="1"/>
    <col min="12041" max="12288" width="11.42578125" style="7"/>
    <col min="12289" max="12291" width="14.28515625" style="7" bestFit="1" customWidth="1"/>
    <col min="12292" max="12292" width="13.28515625" style="7" customWidth="1"/>
    <col min="12293" max="12295" width="11.42578125" style="7"/>
    <col min="12296" max="12296" width="13.28515625" style="7" customWidth="1"/>
    <col min="12297" max="12544" width="11.42578125" style="7"/>
    <col min="12545" max="12547" width="14.28515625" style="7" bestFit="1" customWidth="1"/>
    <col min="12548" max="12548" width="13.28515625" style="7" customWidth="1"/>
    <col min="12549" max="12551" width="11.42578125" style="7"/>
    <col min="12552" max="12552" width="13.28515625" style="7" customWidth="1"/>
    <col min="12553" max="12800" width="11.42578125" style="7"/>
    <col min="12801" max="12803" width="14.28515625" style="7" bestFit="1" customWidth="1"/>
    <col min="12804" max="12804" width="13.28515625" style="7" customWidth="1"/>
    <col min="12805" max="12807" width="11.42578125" style="7"/>
    <col min="12808" max="12808" width="13.28515625" style="7" customWidth="1"/>
    <col min="12809" max="13056" width="11.42578125" style="7"/>
    <col min="13057" max="13059" width="14.28515625" style="7" bestFit="1" customWidth="1"/>
    <col min="13060" max="13060" width="13.28515625" style="7" customWidth="1"/>
    <col min="13061" max="13063" width="11.42578125" style="7"/>
    <col min="13064" max="13064" width="13.28515625" style="7" customWidth="1"/>
    <col min="13065" max="13312" width="11.42578125" style="7"/>
    <col min="13313" max="13315" width="14.28515625" style="7" bestFit="1" customWidth="1"/>
    <col min="13316" max="13316" width="13.28515625" style="7" customWidth="1"/>
    <col min="13317" max="13319" width="11.42578125" style="7"/>
    <col min="13320" max="13320" width="13.28515625" style="7" customWidth="1"/>
    <col min="13321" max="13568" width="11.42578125" style="7"/>
    <col min="13569" max="13571" width="14.28515625" style="7" bestFit="1" customWidth="1"/>
    <col min="13572" max="13572" width="13.28515625" style="7" customWidth="1"/>
    <col min="13573" max="13575" width="11.42578125" style="7"/>
    <col min="13576" max="13576" width="13.28515625" style="7" customWidth="1"/>
    <col min="13577" max="13824" width="11.42578125" style="7"/>
    <col min="13825" max="13827" width="14.28515625" style="7" bestFit="1" customWidth="1"/>
    <col min="13828" max="13828" width="13.28515625" style="7" customWidth="1"/>
    <col min="13829" max="13831" width="11.42578125" style="7"/>
    <col min="13832" max="13832" width="13.28515625" style="7" customWidth="1"/>
    <col min="13833" max="14080" width="11.42578125" style="7"/>
    <col min="14081" max="14083" width="14.28515625" style="7" bestFit="1" customWidth="1"/>
    <col min="14084" max="14084" width="13.28515625" style="7" customWidth="1"/>
    <col min="14085" max="14087" width="11.42578125" style="7"/>
    <col min="14088" max="14088" width="13.28515625" style="7" customWidth="1"/>
    <col min="14089" max="14336" width="11.42578125" style="7"/>
    <col min="14337" max="14339" width="14.28515625" style="7" bestFit="1" customWidth="1"/>
    <col min="14340" max="14340" width="13.28515625" style="7" customWidth="1"/>
    <col min="14341" max="14343" width="11.42578125" style="7"/>
    <col min="14344" max="14344" width="13.28515625" style="7" customWidth="1"/>
    <col min="14345" max="14592" width="11.42578125" style="7"/>
    <col min="14593" max="14595" width="14.28515625" style="7" bestFit="1" customWidth="1"/>
    <col min="14596" max="14596" width="13.28515625" style="7" customWidth="1"/>
    <col min="14597" max="14599" width="11.42578125" style="7"/>
    <col min="14600" max="14600" width="13.28515625" style="7" customWidth="1"/>
    <col min="14601" max="14848" width="11.42578125" style="7"/>
    <col min="14849" max="14851" width="14.28515625" style="7" bestFit="1" customWidth="1"/>
    <col min="14852" max="14852" width="13.28515625" style="7" customWidth="1"/>
    <col min="14853" max="14855" width="11.42578125" style="7"/>
    <col min="14856" max="14856" width="13.28515625" style="7" customWidth="1"/>
    <col min="14857" max="15104" width="11.42578125" style="7"/>
    <col min="15105" max="15107" width="14.28515625" style="7" bestFit="1" customWidth="1"/>
    <col min="15108" max="15108" width="13.28515625" style="7" customWidth="1"/>
    <col min="15109" max="15111" width="11.42578125" style="7"/>
    <col min="15112" max="15112" width="13.28515625" style="7" customWidth="1"/>
    <col min="15113" max="15360" width="11.42578125" style="7"/>
    <col min="15361" max="15363" width="14.28515625" style="7" bestFit="1" customWidth="1"/>
    <col min="15364" max="15364" width="13.28515625" style="7" customWidth="1"/>
    <col min="15365" max="15367" width="11.42578125" style="7"/>
    <col min="15368" max="15368" width="13.28515625" style="7" customWidth="1"/>
    <col min="15369" max="15616" width="11.42578125" style="7"/>
    <col min="15617" max="15619" width="14.28515625" style="7" bestFit="1" customWidth="1"/>
    <col min="15620" max="15620" width="13.28515625" style="7" customWidth="1"/>
    <col min="15621" max="15623" width="11.42578125" style="7"/>
    <col min="15624" max="15624" width="13.28515625" style="7" customWidth="1"/>
    <col min="15625" max="15872" width="11.42578125" style="7"/>
    <col min="15873" max="15875" width="14.28515625" style="7" bestFit="1" customWidth="1"/>
    <col min="15876" max="15876" width="13.28515625" style="7" customWidth="1"/>
    <col min="15877" max="15879" width="11.42578125" style="7"/>
    <col min="15880" max="15880" width="13.28515625" style="7" customWidth="1"/>
    <col min="15881" max="16128" width="11.42578125" style="7"/>
    <col min="16129" max="16131" width="14.28515625" style="7" bestFit="1" customWidth="1"/>
    <col min="16132" max="16132" width="13.28515625" style="7" customWidth="1"/>
    <col min="16133" max="16135" width="11.42578125" style="7"/>
    <col min="16136" max="16136" width="13.28515625" style="7" customWidth="1"/>
    <col min="16137" max="16384" width="11.42578125" style="7"/>
  </cols>
  <sheetData>
    <row r="4" spans="1:22" x14ac:dyDescent="0.2">
      <c r="A4" s="220" t="s">
        <v>278</v>
      </c>
      <c r="B4" s="220" t="s">
        <v>267</v>
      </c>
      <c r="C4" s="304" t="s">
        <v>279</v>
      </c>
      <c r="D4" s="305"/>
      <c r="E4" s="220" t="s">
        <v>200</v>
      </c>
      <c r="F4" s="220" t="s">
        <v>280</v>
      </c>
      <c r="G4" s="221" t="s">
        <v>281</v>
      </c>
      <c r="H4" s="221" t="s">
        <v>282</v>
      </c>
      <c r="I4" s="222"/>
      <c r="J4" s="222"/>
      <c r="K4" s="222"/>
      <c r="L4" s="223"/>
      <c r="M4" s="224"/>
      <c r="N4" s="224"/>
      <c r="O4" s="222"/>
      <c r="P4" s="222"/>
      <c r="Q4" s="222"/>
      <c r="R4" s="222"/>
      <c r="S4" s="222"/>
      <c r="T4" s="73"/>
      <c r="U4" s="225"/>
      <c r="V4" s="139"/>
    </row>
    <row r="5" spans="1:22" x14ac:dyDescent="0.2">
      <c r="A5" s="220"/>
      <c r="B5" s="220"/>
      <c r="C5" s="304" t="s">
        <v>205</v>
      </c>
      <c r="D5" s="305"/>
      <c r="E5" s="220" t="s">
        <v>27</v>
      </c>
      <c r="F5" s="220" t="s">
        <v>62</v>
      </c>
      <c r="G5" s="221" t="s">
        <v>221</v>
      </c>
      <c r="H5" s="221" t="s">
        <v>62</v>
      </c>
      <c r="I5" s="222"/>
      <c r="J5" s="222"/>
      <c r="K5" s="226"/>
      <c r="L5" s="227"/>
      <c r="M5" s="224"/>
      <c r="N5" s="224"/>
      <c r="O5" s="226"/>
      <c r="P5" s="222"/>
      <c r="Q5" s="226"/>
      <c r="R5" s="222"/>
      <c r="S5" s="226"/>
      <c r="T5" s="73"/>
      <c r="U5" s="225"/>
      <c r="V5" s="139"/>
    </row>
    <row r="6" spans="1:22" x14ac:dyDescent="0.2">
      <c r="A6" s="306"/>
      <c r="B6" s="306"/>
      <c r="C6" s="307"/>
      <c r="D6" s="308"/>
      <c r="E6" s="229"/>
      <c r="F6" s="229"/>
      <c r="G6" s="229"/>
      <c r="H6" s="228">
        <f>E6*G6*3.281*F6*1.25</f>
        <v>0</v>
      </c>
      <c r="I6" s="230"/>
      <c r="J6" s="230"/>
      <c r="K6" s="230"/>
      <c r="L6" s="230"/>
      <c r="M6" s="231"/>
      <c r="N6" s="231"/>
      <c r="O6" s="230"/>
      <c r="P6" s="230"/>
      <c r="Q6" s="230"/>
      <c r="R6" s="230"/>
      <c r="S6" s="230"/>
      <c r="T6" s="142"/>
      <c r="U6" s="232"/>
      <c r="V6" s="139"/>
    </row>
    <row r="7" spans="1:22" x14ac:dyDescent="0.2">
      <c r="A7" s="306"/>
      <c r="B7" s="306"/>
      <c r="C7" s="307"/>
      <c r="D7" s="308"/>
      <c r="E7" s="229"/>
      <c r="F7" s="229"/>
      <c r="G7" s="229"/>
      <c r="H7" s="228">
        <f>E7*G7*3.281*F7*1.25</f>
        <v>0</v>
      </c>
      <c r="I7" s="230"/>
      <c r="J7" s="230"/>
      <c r="K7" s="230"/>
      <c r="L7" s="230"/>
      <c r="M7" s="231"/>
      <c r="N7" s="231"/>
      <c r="O7" s="230"/>
      <c r="P7" s="230"/>
      <c r="Q7" s="230"/>
      <c r="R7" s="230"/>
      <c r="S7" s="230"/>
      <c r="T7" s="142"/>
      <c r="U7" s="232"/>
      <c r="V7" s="139"/>
    </row>
    <row r="8" spans="1:22" x14ac:dyDescent="0.2">
      <c r="A8" s="306"/>
      <c r="B8" s="306"/>
      <c r="C8" s="307"/>
      <c r="D8" s="308"/>
      <c r="E8" s="229"/>
      <c r="F8" s="229"/>
      <c r="G8" s="229"/>
      <c r="H8" s="228">
        <f>E8*G8*3.281*F8*1.25</f>
        <v>0</v>
      </c>
      <c r="I8" s="230"/>
      <c r="J8" s="230"/>
      <c r="K8" s="230"/>
      <c r="L8" s="230"/>
      <c r="M8" s="231"/>
      <c r="N8" s="231"/>
      <c r="O8" s="230"/>
      <c r="P8" s="230"/>
      <c r="Q8" s="230"/>
      <c r="R8" s="230"/>
      <c r="S8" s="230"/>
      <c r="T8" s="142"/>
      <c r="U8" s="232"/>
    </row>
    <row r="9" spans="1:22" x14ac:dyDescent="0.2">
      <c r="A9" s="306"/>
      <c r="B9" s="306"/>
      <c r="C9" s="307"/>
      <c r="D9" s="308"/>
      <c r="E9" s="229"/>
      <c r="F9" s="229"/>
      <c r="G9" s="229"/>
      <c r="H9" s="228">
        <f>E9*G9*F9*1.25</f>
        <v>0</v>
      </c>
      <c r="I9" s="230"/>
      <c r="J9" s="230"/>
      <c r="K9" s="230"/>
      <c r="L9" s="230"/>
      <c r="M9" s="231"/>
      <c r="N9" s="231"/>
      <c r="O9" s="230"/>
      <c r="P9" s="230"/>
      <c r="Q9" s="230"/>
      <c r="R9" s="230"/>
      <c r="S9" s="230"/>
      <c r="T9" s="142"/>
      <c r="U9" s="232"/>
      <c r="V9" s="139"/>
    </row>
    <row r="10" spans="1:22" x14ac:dyDescent="0.2">
      <c r="A10" s="306"/>
      <c r="B10" s="306"/>
      <c r="C10" s="307"/>
      <c r="D10" s="308"/>
      <c r="E10" s="229"/>
      <c r="F10" s="229"/>
      <c r="G10" s="229"/>
      <c r="H10" s="228">
        <f t="shared" ref="H10:H16" si="0">E10*G10*3.281*F10*1.25</f>
        <v>0</v>
      </c>
      <c r="I10" s="230"/>
      <c r="J10" s="230"/>
      <c r="K10" s="230"/>
      <c r="L10" s="230"/>
      <c r="M10" s="231"/>
      <c r="N10" s="231"/>
      <c r="O10" s="230"/>
      <c r="P10" s="230"/>
      <c r="Q10" s="230"/>
      <c r="R10" s="230"/>
      <c r="S10" s="230"/>
      <c r="T10" s="142"/>
      <c r="U10" s="232"/>
      <c r="V10" s="139"/>
    </row>
    <row r="11" spans="1:22" x14ac:dyDescent="0.2">
      <c r="A11" s="306"/>
      <c r="B11" s="306"/>
      <c r="C11" s="307"/>
      <c r="D11" s="308"/>
      <c r="E11" s="229"/>
      <c r="F11" s="229"/>
      <c r="G11" s="229"/>
      <c r="H11" s="228">
        <f t="shared" si="0"/>
        <v>0</v>
      </c>
      <c r="I11" s="230"/>
      <c r="J11" s="230"/>
      <c r="K11" s="230"/>
      <c r="L11" s="230"/>
      <c r="M11" s="231"/>
      <c r="N11" s="231"/>
      <c r="O11" s="230"/>
      <c r="P11" s="230"/>
      <c r="Q11" s="230"/>
      <c r="R11" s="230"/>
      <c r="S11" s="230"/>
      <c r="T11" s="142"/>
      <c r="U11" s="232"/>
      <c r="V11" s="139"/>
    </row>
    <row r="12" spans="1:22" x14ac:dyDescent="0.2">
      <c r="A12" s="306"/>
      <c r="B12" s="306"/>
      <c r="C12" s="307"/>
      <c r="D12" s="308"/>
      <c r="E12" s="229"/>
      <c r="F12" s="229"/>
      <c r="G12" s="229"/>
      <c r="H12" s="228">
        <f t="shared" si="0"/>
        <v>0</v>
      </c>
      <c r="I12" s="230"/>
      <c r="J12" s="230"/>
      <c r="K12" s="230"/>
      <c r="L12" s="230"/>
      <c r="M12" s="231"/>
      <c r="N12" s="231"/>
      <c r="O12" s="230"/>
      <c r="P12" s="230"/>
      <c r="Q12" s="230"/>
      <c r="R12" s="230"/>
      <c r="S12" s="230"/>
      <c r="T12" s="142"/>
      <c r="U12" s="232"/>
      <c r="V12" s="139"/>
    </row>
    <row r="13" spans="1:22" x14ac:dyDescent="0.2">
      <c r="A13" s="306"/>
      <c r="B13" s="306"/>
      <c r="C13" s="307"/>
      <c r="D13" s="308"/>
      <c r="E13" s="229"/>
      <c r="F13" s="229"/>
      <c r="G13" s="229"/>
      <c r="H13" s="228">
        <f t="shared" si="0"/>
        <v>0</v>
      </c>
      <c r="I13" s="230"/>
      <c r="J13" s="230"/>
      <c r="K13" s="230"/>
      <c r="L13" s="230"/>
      <c r="M13" s="231"/>
      <c r="N13" s="231"/>
      <c r="O13" s="230"/>
      <c r="P13" s="230"/>
      <c r="Q13" s="230"/>
      <c r="R13" s="230"/>
      <c r="S13" s="230"/>
      <c r="T13" s="142"/>
      <c r="U13" s="232"/>
      <c r="V13" s="139"/>
    </row>
    <row r="14" spans="1:22" x14ac:dyDescent="0.2">
      <c r="A14" s="306"/>
      <c r="B14" s="306"/>
      <c r="C14" s="307"/>
      <c r="D14" s="308"/>
      <c r="E14" s="229"/>
      <c r="F14" s="229"/>
      <c r="G14" s="229"/>
      <c r="H14" s="228">
        <f t="shared" si="0"/>
        <v>0</v>
      </c>
      <c r="I14" s="230"/>
      <c r="J14" s="230"/>
      <c r="K14" s="230"/>
      <c r="L14" s="230"/>
      <c r="M14" s="231"/>
      <c r="N14" s="231"/>
      <c r="O14" s="230"/>
      <c r="P14" s="230"/>
      <c r="Q14" s="230"/>
      <c r="R14" s="230"/>
      <c r="S14" s="230"/>
      <c r="T14" s="142"/>
      <c r="U14" s="232"/>
      <c r="V14" s="139"/>
    </row>
    <row r="15" spans="1:22" x14ac:dyDescent="0.2">
      <c r="A15" s="306"/>
      <c r="B15" s="306"/>
      <c r="C15" s="307"/>
      <c r="D15" s="308"/>
      <c r="E15" s="229"/>
      <c r="F15" s="229"/>
      <c r="G15" s="229"/>
      <c r="H15" s="228">
        <f t="shared" si="0"/>
        <v>0</v>
      </c>
      <c r="I15" s="230"/>
      <c r="J15" s="230"/>
      <c r="K15" s="230"/>
      <c r="L15" s="230"/>
      <c r="M15" s="231"/>
      <c r="N15" s="231"/>
      <c r="O15" s="230"/>
      <c r="P15" s="230"/>
      <c r="Q15" s="230"/>
      <c r="R15" s="230"/>
      <c r="S15" s="230"/>
      <c r="T15" s="142"/>
      <c r="U15" s="232"/>
      <c r="V15" s="139"/>
    </row>
    <row r="16" spans="1:22" x14ac:dyDescent="0.2">
      <c r="A16" s="306"/>
      <c r="B16" s="306"/>
      <c r="C16" s="307"/>
      <c r="D16" s="308"/>
      <c r="E16" s="229"/>
      <c r="F16" s="229"/>
      <c r="G16" s="229"/>
      <c r="H16" s="228">
        <f t="shared" si="0"/>
        <v>0</v>
      </c>
      <c r="I16" s="230"/>
      <c r="J16" s="230"/>
      <c r="K16" s="230"/>
      <c r="L16" s="230"/>
      <c r="M16" s="231"/>
      <c r="N16" s="231"/>
      <c r="O16" s="230"/>
      <c r="P16" s="230"/>
      <c r="Q16" s="230"/>
      <c r="R16" s="230"/>
      <c r="S16" s="230"/>
      <c r="T16" s="142"/>
      <c r="U16" s="232"/>
      <c r="V16" s="139"/>
    </row>
    <row r="17" spans="1:22" x14ac:dyDescent="0.2">
      <c r="D17" s="231"/>
      <c r="G17" s="233" t="s">
        <v>62</v>
      </c>
      <c r="H17" s="234">
        <f>SUM(H6:H16)</f>
        <v>0</v>
      </c>
      <c r="I17" s="235"/>
      <c r="J17" s="235"/>
      <c r="K17" s="235"/>
      <c r="L17" s="96"/>
      <c r="M17" s="236"/>
      <c r="N17" s="236"/>
      <c r="O17" s="235"/>
      <c r="P17" s="235"/>
      <c r="Q17" s="235"/>
      <c r="R17" s="235"/>
      <c r="S17" s="235"/>
      <c r="T17" s="142"/>
      <c r="U17" s="232"/>
    </row>
    <row r="19" spans="1:22" x14ac:dyDescent="0.2">
      <c r="A19" s="220" t="s">
        <v>278</v>
      </c>
      <c r="B19" s="220" t="s">
        <v>267</v>
      </c>
      <c r="C19" s="304" t="s">
        <v>279</v>
      </c>
      <c r="D19" s="305"/>
      <c r="E19" s="220" t="s">
        <v>200</v>
      </c>
      <c r="F19" s="220" t="s">
        <v>280</v>
      </c>
      <c r="G19" s="221" t="s">
        <v>281</v>
      </c>
      <c r="H19" s="221" t="s">
        <v>282</v>
      </c>
      <c r="I19" s="222"/>
      <c r="J19" s="222"/>
      <c r="K19" s="222"/>
      <c r="L19" s="223"/>
      <c r="M19" s="224"/>
      <c r="N19" s="224"/>
      <c r="O19" s="222"/>
      <c r="P19" s="222"/>
      <c r="Q19" s="222"/>
      <c r="R19" s="222"/>
      <c r="S19" s="222"/>
      <c r="T19" s="73"/>
      <c r="U19" s="225"/>
      <c r="V19" s="139"/>
    </row>
    <row r="20" spans="1:22" x14ac:dyDescent="0.2">
      <c r="A20" s="220"/>
      <c r="B20" s="220"/>
      <c r="C20" s="304" t="s">
        <v>205</v>
      </c>
      <c r="D20" s="305"/>
      <c r="E20" s="220" t="s">
        <v>27</v>
      </c>
      <c r="F20" s="220" t="s">
        <v>62</v>
      </c>
      <c r="G20" s="221" t="s">
        <v>221</v>
      </c>
      <c r="H20" s="221" t="s">
        <v>62</v>
      </c>
      <c r="I20" s="222"/>
      <c r="J20" s="222"/>
      <c r="K20" s="226"/>
      <c r="L20" s="227"/>
      <c r="M20" s="224"/>
      <c r="N20" s="224"/>
      <c r="O20" s="226"/>
      <c r="P20" s="222"/>
      <c r="Q20" s="226"/>
      <c r="R20" s="222"/>
      <c r="S20" s="226"/>
      <c r="T20" s="73"/>
      <c r="U20" s="225"/>
      <c r="V20" s="139"/>
    </row>
    <row r="21" spans="1:22" x14ac:dyDescent="0.2">
      <c r="A21" s="306"/>
      <c r="B21" s="306"/>
      <c r="C21" s="307"/>
      <c r="D21" s="308"/>
      <c r="E21" s="229"/>
      <c r="F21" s="229"/>
      <c r="G21" s="229"/>
      <c r="H21" s="228">
        <f>E21*G21*3.281*F21*1.25</f>
        <v>0</v>
      </c>
      <c r="I21" s="230"/>
      <c r="J21" s="230"/>
      <c r="K21" s="230"/>
      <c r="L21" s="230"/>
      <c r="M21" s="231"/>
      <c r="N21" s="231"/>
      <c r="O21" s="230"/>
      <c r="P21" s="230"/>
      <c r="Q21" s="230"/>
      <c r="R21" s="230"/>
      <c r="S21" s="230"/>
      <c r="T21" s="142"/>
      <c r="U21" s="232"/>
      <c r="V21" s="139"/>
    </row>
    <row r="22" spans="1:22" x14ac:dyDescent="0.2">
      <c r="A22" s="306"/>
      <c r="B22" s="306"/>
      <c r="C22" s="307"/>
      <c r="D22" s="308"/>
      <c r="E22" s="229"/>
      <c r="F22" s="229"/>
      <c r="G22" s="229"/>
      <c r="H22" s="228">
        <f>E22*G22*3.281*F22*1.25</f>
        <v>0</v>
      </c>
      <c r="I22" s="230"/>
      <c r="J22" s="230"/>
      <c r="K22" s="230"/>
      <c r="L22" s="230"/>
      <c r="M22" s="231"/>
      <c r="N22" s="231"/>
      <c r="O22" s="230"/>
      <c r="P22" s="230"/>
      <c r="Q22" s="230"/>
      <c r="R22" s="230"/>
      <c r="S22" s="230"/>
      <c r="T22" s="142"/>
      <c r="U22" s="232"/>
      <c r="V22" s="139"/>
    </row>
    <row r="23" spans="1:22" x14ac:dyDescent="0.2">
      <c r="A23" s="306"/>
      <c r="B23" s="306"/>
      <c r="C23" s="307"/>
      <c r="D23" s="308"/>
      <c r="E23" s="229"/>
      <c r="F23" s="229"/>
      <c r="G23" s="229"/>
      <c r="H23" s="228">
        <f>E23*G23*3.281*F23*1.25</f>
        <v>0</v>
      </c>
      <c r="I23" s="230"/>
      <c r="J23" s="230"/>
      <c r="K23" s="230"/>
      <c r="L23" s="230"/>
      <c r="M23" s="231"/>
      <c r="N23" s="231"/>
      <c r="O23" s="230"/>
      <c r="P23" s="230"/>
      <c r="Q23" s="230"/>
      <c r="R23" s="230"/>
      <c r="S23" s="230"/>
      <c r="T23" s="142"/>
      <c r="U23" s="232"/>
    </row>
    <row r="24" spans="1:22" x14ac:dyDescent="0.2">
      <c r="A24" s="306"/>
      <c r="B24" s="306"/>
      <c r="C24" s="307"/>
      <c r="D24" s="308"/>
      <c r="E24" s="229"/>
      <c r="F24" s="229"/>
      <c r="G24" s="229"/>
      <c r="H24" s="228">
        <f>E24*G24*F24*1.25</f>
        <v>0</v>
      </c>
      <c r="I24" s="230"/>
      <c r="J24" s="230"/>
      <c r="K24" s="230"/>
      <c r="L24" s="230"/>
      <c r="M24" s="231"/>
      <c r="N24" s="231"/>
      <c r="O24" s="230"/>
      <c r="P24" s="230"/>
      <c r="Q24" s="230"/>
      <c r="R24" s="230"/>
      <c r="S24" s="230"/>
      <c r="T24" s="142"/>
      <c r="U24" s="232"/>
      <c r="V24" s="139"/>
    </row>
    <row r="25" spans="1:22" x14ac:dyDescent="0.2">
      <c r="A25" s="306"/>
      <c r="B25" s="306"/>
      <c r="C25" s="307"/>
      <c r="D25" s="308"/>
      <c r="E25" s="229"/>
      <c r="F25" s="229"/>
      <c r="G25" s="229"/>
      <c r="H25" s="228">
        <f t="shared" ref="H25:H31" si="1">E25*G25*3.281*F25*1.25</f>
        <v>0</v>
      </c>
      <c r="I25" s="230"/>
      <c r="J25" s="230"/>
      <c r="K25" s="230"/>
      <c r="L25" s="230"/>
      <c r="M25" s="231"/>
      <c r="N25" s="231"/>
      <c r="O25" s="230"/>
      <c r="P25" s="230"/>
      <c r="Q25" s="230"/>
      <c r="R25" s="230"/>
      <c r="S25" s="230"/>
      <c r="T25" s="142"/>
      <c r="U25" s="232"/>
      <c r="V25" s="139"/>
    </row>
    <row r="26" spans="1:22" x14ac:dyDescent="0.2">
      <c r="A26" s="306"/>
      <c r="B26" s="306"/>
      <c r="C26" s="307"/>
      <c r="D26" s="308"/>
      <c r="E26" s="229"/>
      <c r="F26" s="229"/>
      <c r="G26" s="229"/>
      <c r="H26" s="228">
        <f t="shared" si="1"/>
        <v>0</v>
      </c>
      <c r="I26" s="230"/>
      <c r="J26" s="230"/>
      <c r="K26" s="230"/>
      <c r="L26" s="230"/>
      <c r="M26" s="231"/>
      <c r="N26" s="231"/>
      <c r="O26" s="230"/>
      <c r="P26" s="230"/>
      <c r="Q26" s="230"/>
      <c r="R26" s="230"/>
      <c r="S26" s="230"/>
      <c r="T26" s="142"/>
      <c r="U26" s="232"/>
      <c r="V26" s="139"/>
    </row>
    <row r="27" spans="1:22" x14ac:dyDescent="0.2">
      <c r="A27" s="306"/>
      <c r="B27" s="306"/>
      <c r="C27" s="307"/>
      <c r="D27" s="308"/>
      <c r="E27" s="229"/>
      <c r="F27" s="229"/>
      <c r="G27" s="229"/>
      <c r="H27" s="228">
        <f t="shared" si="1"/>
        <v>0</v>
      </c>
      <c r="I27" s="230"/>
      <c r="J27" s="230"/>
      <c r="K27" s="230"/>
      <c r="L27" s="230"/>
      <c r="M27" s="231"/>
      <c r="N27" s="231"/>
      <c r="O27" s="230"/>
      <c r="P27" s="230"/>
      <c r="Q27" s="230"/>
      <c r="R27" s="230"/>
      <c r="S27" s="230"/>
      <c r="T27" s="142"/>
      <c r="U27" s="232"/>
      <c r="V27" s="139"/>
    </row>
    <row r="28" spans="1:22" x14ac:dyDescent="0.2">
      <c r="A28" s="306"/>
      <c r="B28" s="306"/>
      <c r="C28" s="307"/>
      <c r="D28" s="308"/>
      <c r="E28" s="229"/>
      <c r="F28" s="229"/>
      <c r="G28" s="229"/>
      <c r="H28" s="228">
        <f t="shared" si="1"/>
        <v>0</v>
      </c>
      <c r="I28" s="230"/>
      <c r="J28" s="230"/>
      <c r="K28" s="230"/>
      <c r="L28" s="230"/>
      <c r="M28" s="231"/>
      <c r="N28" s="231"/>
      <c r="O28" s="230"/>
      <c r="P28" s="230"/>
      <c r="Q28" s="230"/>
      <c r="R28" s="230"/>
      <c r="S28" s="230"/>
      <c r="T28" s="142"/>
      <c r="U28" s="232"/>
      <c r="V28" s="139"/>
    </row>
    <row r="29" spans="1:22" x14ac:dyDescent="0.2">
      <c r="A29" s="306"/>
      <c r="B29" s="306"/>
      <c r="C29" s="307"/>
      <c r="D29" s="308"/>
      <c r="E29" s="229"/>
      <c r="F29" s="229"/>
      <c r="G29" s="229"/>
      <c r="H29" s="228">
        <f t="shared" si="1"/>
        <v>0</v>
      </c>
      <c r="I29" s="230"/>
      <c r="J29" s="230"/>
      <c r="K29" s="230"/>
      <c r="L29" s="230"/>
      <c r="M29" s="231"/>
      <c r="N29" s="231"/>
      <c r="O29" s="230"/>
      <c r="P29" s="230"/>
      <c r="Q29" s="230"/>
      <c r="R29" s="230"/>
      <c r="S29" s="230"/>
      <c r="T29" s="142"/>
      <c r="U29" s="232"/>
      <c r="V29" s="139"/>
    </row>
    <row r="30" spans="1:22" x14ac:dyDescent="0.2">
      <c r="A30" s="306"/>
      <c r="B30" s="306"/>
      <c r="C30" s="307"/>
      <c r="D30" s="308"/>
      <c r="E30" s="229"/>
      <c r="F30" s="229"/>
      <c r="G30" s="229"/>
      <c r="H30" s="228">
        <f t="shared" si="1"/>
        <v>0</v>
      </c>
      <c r="I30" s="230"/>
      <c r="J30" s="230"/>
      <c r="K30" s="230"/>
      <c r="L30" s="230"/>
      <c r="M30" s="231"/>
      <c r="N30" s="231"/>
      <c r="O30" s="230"/>
      <c r="P30" s="230"/>
      <c r="Q30" s="230"/>
      <c r="R30" s="230"/>
      <c r="S30" s="230"/>
      <c r="T30" s="142"/>
      <c r="U30" s="232"/>
      <c r="V30" s="139"/>
    </row>
    <row r="31" spans="1:22" x14ac:dyDescent="0.2">
      <c r="A31" s="306"/>
      <c r="B31" s="306"/>
      <c r="C31" s="307"/>
      <c r="D31" s="308"/>
      <c r="E31" s="229"/>
      <c r="F31" s="229"/>
      <c r="G31" s="229"/>
      <c r="H31" s="228">
        <f t="shared" si="1"/>
        <v>0</v>
      </c>
      <c r="I31" s="230"/>
      <c r="J31" s="230"/>
      <c r="K31" s="230"/>
      <c r="L31" s="230"/>
      <c r="M31" s="231"/>
      <c r="N31" s="231"/>
      <c r="O31" s="230"/>
      <c r="P31" s="230"/>
      <c r="Q31" s="230"/>
      <c r="R31" s="230"/>
      <c r="S31" s="230"/>
      <c r="T31" s="142"/>
      <c r="U31" s="232"/>
      <c r="V31" s="139"/>
    </row>
    <row r="32" spans="1:22" x14ac:dyDescent="0.2">
      <c r="D32" s="231"/>
      <c r="G32" s="233" t="s">
        <v>62</v>
      </c>
      <c r="H32" s="234">
        <f>SUM(H21:H31)</f>
        <v>0</v>
      </c>
      <c r="I32" s="235"/>
      <c r="J32" s="235"/>
      <c r="K32" s="235"/>
      <c r="L32" s="96"/>
      <c r="M32" s="236"/>
      <c r="N32" s="236"/>
      <c r="O32" s="235"/>
      <c r="P32" s="235"/>
      <c r="Q32" s="235"/>
      <c r="R32" s="235"/>
      <c r="S32" s="235"/>
      <c r="T32" s="142"/>
      <c r="U32" s="232"/>
    </row>
  </sheetData>
  <mergeCells count="30">
    <mergeCell ref="C19:D19"/>
    <mergeCell ref="C4:D4"/>
    <mergeCell ref="C5:D5"/>
    <mergeCell ref="A6:A16"/>
    <mergeCell ref="B6:B16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20:D20"/>
    <mergeCell ref="A21:A31"/>
    <mergeCell ref="B21:B31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</mergeCells>
  <pageMargins left="0.75" right="0.75" top="1" bottom="1" header="0" footer="0"/>
  <pageSetup paperSize="9" orientation="portrait" horizontalDpi="200" verticalDpi="2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F7B74-FA86-4BC2-BB69-C25DCA70C84D}">
  <sheetPr codeName="Sheet6">
    <tabColor theme="0"/>
  </sheetPr>
  <dimension ref="A4:AI44"/>
  <sheetViews>
    <sheetView topLeftCell="A34" zoomScaleNormal="100" workbookViewId="0">
      <selection activeCell="J71" sqref="J71"/>
    </sheetView>
  </sheetViews>
  <sheetFormatPr defaultColWidth="11.42578125" defaultRowHeight="12.75" x14ac:dyDescent="0.2"/>
  <cols>
    <col min="1" max="1" width="12.140625" style="7" customWidth="1"/>
    <col min="2" max="2" width="10.7109375" style="7" customWidth="1"/>
    <col min="3" max="3" width="11.85546875" style="7" customWidth="1"/>
    <col min="4" max="4" width="13.28515625" style="7" customWidth="1"/>
    <col min="5" max="5" width="10.7109375" style="7" customWidth="1"/>
    <col min="6" max="6" width="11.42578125" style="7" customWidth="1"/>
    <col min="7" max="7" width="11.42578125" style="142" customWidth="1"/>
    <col min="8" max="8" width="13.28515625" style="142" customWidth="1"/>
    <col min="9" max="11" width="11.42578125" style="7" customWidth="1"/>
    <col min="12" max="12" width="11.42578125" style="7" hidden="1" customWidth="1"/>
    <col min="13" max="14" width="11.42578125" style="140" hidden="1" customWidth="1"/>
    <col min="15" max="16384" width="11.42578125" style="7"/>
  </cols>
  <sheetData>
    <row r="4" spans="1:35" x14ac:dyDescent="0.2">
      <c r="A4" s="111"/>
      <c r="B4" s="111"/>
      <c r="C4" s="111"/>
      <c r="D4" s="111"/>
      <c r="L4" s="142"/>
      <c r="M4" s="248"/>
      <c r="N4" s="154"/>
      <c r="O4" s="139"/>
    </row>
    <row r="5" spans="1:35" ht="25.5" x14ac:dyDescent="0.2">
      <c r="A5" s="220" t="s">
        <v>283</v>
      </c>
      <c r="B5" s="220" t="s">
        <v>267</v>
      </c>
      <c r="C5" s="220" t="s">
        <v>279</v>
      </c>
      <c r="D5" s="220" t="s">
        <v>297</v>
      </c>
      <c r="E5" s="220" t="s">
        <v>296</v>
      </c>
      <c r="F5" s="220" t="s">
        <v>295</v>
      </c>
      <c r="G5" s="221" t="s">
        <v>294</v>
      </c>
      <c r="H5" s="221" t="s">
        <v>293</v>
      </c>
      <c r="I5" s="246" t="s">
        <v>292</v>
      </c>
      <c r="J5" s="246" t="s">
        <v>291</v>
      </c>
      <c r="K5" s="246" t="s">
        <v>203</v>
      </c>
      <c r="L5" s="220" t="s">
        <v>18</v>
      </c>
      <c r="M5" s="247" t="s">
        <v>290</v>
      </c>
      <c r="N5" s="247" t="s">
        <v>289</v>
      </c>
      <c r="O5" s="246" t="s">
        <v>288</v>
      </c>
      <c r="P5" s="246" t="s">
        <v>210</v>
      </c>
      <c r="Q5" s="246" t="s">
        <v>287</v>
      </c>
      <c r="R5" s="246" t="s">
        <v>286</v>
      </c>
      <c r="S5" s="246" t="s">
        <v>285</v>
      </c>
      <c r="U5" s="225"/>
      <c r="V5" s="139"/>
    </row>
    <row r="6" spans="1:35" x14ac:dyDescent="0.2">
      <c r="A6" s="220"/>
      <c r="B6" s="220"/>
      <c r="C6" s="220"/>
      <c r="D6" s="220" t="s">
        <v>205</v>
      </c>
      <c r="E6" s="220" t="s">
        <v>27</v>
      </c>
      <c r="F6" s="220" t="s">
        <v>27</v>
      </c>
      <c r="G6" s="221" t="s">
        <v>221</v>
      </c>
      <c r="H6" s="221" t="s">
        <v>221</v>
      </c>
      <c r="I6" s="246" t="s">
        <v>5</v>
      </c>
      <c r="J6" s="246" t="s">
        <v>27</v>
      </c>
      <c r="K6" s="245" t="s">
        <v>59</v>
      </c>
      <c r="L6" s="221"/>
      <c r="M6" s="247"/>
      <c r="N6" s="247"/>
      <c r="O6" s="245" t="s">
        <v>284</v>
      </c>
      <c r="P6" s="246" t="s">
        <v>284</v>
      </c>
      <c r="Q6" s="245" t="s">
        <v>284</v>
      </c>
      <c r="R6" s="246" t="s">
        <v>284</v>
      </c>
      <c r="S6" s="245" t="s">
        <v>284</v>
      </c>
      <c r="U6" s="225"/>
      <c r="V6" s="139"/>
    </row>
    <row r="7" spans="1:35" s="121" customFormat="1" x14ac:dyDescent="0.25">
      <c r="A7" s="309"/>
      <c r="B7" s="310"/>
      <c r="C7" s="311"/>
      <c r="D7" s="243"/>
      <c r="E7" s="311"/>
      <c r="F7" s="312"/>
      <c r="G7" s="316"/>
      <c r="H7" s="316"/>
      <c r="I7" s="317">
        <f>(E7+F7)*2*G7</f>
        <v>0</v>
      </c>
      <c r="J7" s="319"/>
      <c r="K7" s="321">
        <f>D7*E7*F7*G7</f>
        <v>0</v>
      </c>
      <c r="L7" s="242">
        <f>F7+0.3</f>
        <v>0.3</v>
      </c>
      <c r="M7" s="241">
        <v>4</v>
      </c>
      <c r="N7" s="241">
        <v>4</v>
      </c>
      <c r="O7" s="228" t="str">
        <f t="shared" ref="O7:O28" si="0">+IF(N7=3,L7*D7*M7*3.281*0.378,"")</f>
        <v/>
      </c>
      <c r="P7" s="228">
        <f t="shared" ref="P7:P28" si="1">+IF(N7=4,E7*M7*L7*3.281*0.668,"")</f>
        <v>0</v>
      </c>
      <c r="Q7" s="228" t="str">
        <f t="shared" ref="Q7:Q28" si="2">+IF(N7=5,L7*D7*M7*3.281*1.043,"")</f>
        <v/>
      </c>
      <c r="R7" s="228" t="str">
        <f t="shared" ref="R7:R27" si="3">+IF(N7=6,D7*L7*M7*3.281*1.503,"")</f>
        <v/>
      </c>
      <c r="S7" s="228" t="str">
        <f t="shared" ref="S7:S28" si="4">+IF(N7=8,D7*L7*M7*3.281*2.67,"")</f>
        <v/>
      </c>
      <c r="T7" s="239"/>
      <c r="U7" s="238"/>
      <c r="V7" s="238"/>
      <c r="W7" s="192"/>
      <c r="X7" s="192"/>
      <c r="Y7" s="192"/>
      <c r="Z7" s="240"/>
      <c r="AA7" s="239"/>
      <c r="AB7" s="238"/>
      <c r="AC7" s="120"/>
      <c r="AD7" s="120"/>
      <c r="AE7" s="120"/>
      <c r="AF7" s="120"/>
      <c r="AG7" s="120"/>
      <c r="AH7" s="120"/>
      <c r="AI7" s="120"/>
    </row>
    <row r="8" spans="1:35" s="121" customFormat="1" x14ac:dyDescent="0.25">
      <c r="A8" s="309"/>
      <c r="B8" s="310"/>
      <c r="C8" s="311"/>
      <c r="D8" s="243"/>
      <c r="E8" s="311"/>
      <c r="F8" s="312"/>
      <c r="G8" s="316"/>
      <c r="H8" s="316"/>
      <c r="I8" s="318"/>
      <c r="J8" s="320"/>
      <c r="K8" s="322"/>
      <c r="L8" s="242">
        <f>E7+0.3</f>
        <v>0.3</v>
      </c>
      <c r="M8" s="241">
        <f>F7/0.3</f>
        <v>0</v>
      </c>
      <c r="N8" s="241">
        <v>5</v>
      </c>
      <c r="O8" s="228" t="str">
        <f t="shared" si="0"/>
        <v/>
      </c>
      <c r="P8" s="228" t="str">
        <f t="shared" si="1"/>
        <v/>
      </c>
      <c r="Q8" s="228">
        <f t="shared" si="2"/>
        <v>0</v>
      </c>
      <c r="R8" s="228" t="str">
        <f t="shared" si="3"/>
        <v/>
      </c>
      <c r="S8" s="228" t="str">
        <f t="shared" si="4"/>
        <v/>
      </c>
      <c r="T8" s="239"/>
      <c r="U8" s="238"/>
      <c r="V8" s="238"/>
      <c r="W8" s="192"/>
      <c r="X8" s="192"/>
      <c r="Y8" s="192"/>
      <c r="Z8" s="240"/>
      <c r="AA8" s="239"/>
      <c r="AB8" s="238"/>
      <c r="AC8" s="120"/>
      <c r="AD8" s="120"/>
      <c r="AE8" s="120"/>
      <c r="AF8" s="120"/>
      <c r="AG8" s="120"/>
      <c r="AH8" s="120"/>
      <c r="AI8" s="120"/>
    </row>
    <row r="9" spans="1:35" x14ac:dyDescent="0.2">
      <c r="A9" s="306"/>
      <c r="B9" s="306"/>
      <c r="C9" s="313"/>
      <c r="D9" s="244"/>
      <c r="E9" s="229"/>
      <c r="F9" s="229"/>
      <c r="G9" s="229"/>
      <c r="H9" s="229"/>
      <c r="I9" s="228">
        <f>E9*F9*D9+F9*2</f>
        <v>0</v>
      </c>
      <c r="J9" s="228">
        <f>H9*E9</f>
        <v>0</v>
      </c>
      <c r="K9" s="228">
        <f>E9*F9*G9*D9*1.1+H9*0.5*0.18*0.3*1.1</f>
        <v>0</v>
      </c>
      <c r="L9" s="228">
        <f>F9+1.2</f>
        <v>1.2</v>
      </c>
      <c r="M9" s="244">
        <f>E9/0.2</f>
        <v>0</v>
      </c>
      <c r="N9" s="244">
        <v>5</v>
      </c>
      <c r="O9" s="228" t="str">
        <f t="shared" si="0"/>
        <v/>
      </c>
      <c r="P9" s="228" t="str">
        <f t="shared" si="1"/>
        <v/>
      </c>
      <c r="Q9" s="228">
        <f t="shared" si="2"/>
        <v>0</v>
      </c>
      <c r="R9" s="228" t="str">
        <f t="shared" si="3"/>
        <v/>
      </c>
      <c r="S9" s="228" t="str">
        <f t="shared" si="4"/>
        <v/>
      </c>
      <c r="T9" s="142"/>
      <c r="U9" s="232"/>
      <c r="V9" s="139"/>
    </row>
    <row r="10" spans="1:35" x14ac:dyDescent="0.2">
      <c r="A10" s="306"/>
      <c r="B10" s="306"/>
      <c r="C10" s="314"/>
      <c r="D10" s="244"/>
      <c r="E10" s="229"/>
      <c r="F10" s="229"/>
      <c r="G10" s="229"/>
      <c r="H10" s="229"/>
      <c r="I10" s="228"/>
      <c r="J10" s="228"/>
      <c r="K10" s="228"/>
      <c r="L10" s="228">
        <f>F10+1.2</f>
        <v>1.2</v>
      </c>
      <c r="M10" s="244">
        <f>E10/0.2</f>
        <v>0</v>
      </c>
      <c r="N10" s="244">
        <v>5</v>
      </c>
      <c r="O10" s="228" t="str">
        <f t="shared" si="0"/>
        <v/>
      </c>
      <c r="P10" s="228" t="str">
        <f t="shared" si="1"/>
        <v/>
      </c>
      <c r="Q10" s="228">
        <f t="shared" si="2"/>
        <v>0</v>
      </c>
      <c r="R10" s="228" t="str">
        <f t="shared" si="3"/>
        <v/>
      </c>
      <c r="S10" s="228" t="str">
        <f t="shared" si="4"/>
        <v/>
      </c>
      <c r="T10" s="142"/>
      <c r="U10" s="232"/>
      <c r="V10" s="139"/>
    </row>
    <row r="11" spans="1:35" x14ac:dyDescent="0.2">
      <c r="A11" s="306"/>
      <c r="B11" s="306"/>
      <c r="C11" s="314"/>
      <c r="D11" s="244"/>
      <c r="E11" s="229"/>
      <c r="F11" s="229"/>
      <c r="G11" s="229"/>
      <c r="H11" s="229"/>
      <c r="I11" s="228"/>
      <c r="J11" s="228"/>
      <c r="K11" s="228"/>
      <c r="L11" s="228">
        <f>F9+0.6</f>
        <v>0.6</v>
      </c>
      <c r="M11" s="244">
        <f>2*F11/0.2</f>
        <v>0</v>
      </c>
      <c r="N11" s="244">
        <v>4</v>
      </c>
      <c r="O11" s="228" t="str">
        <f t="shared" si="0"/>
        <v/>
      </c>
      <c r="P11" s="228">
        <f t="shared" si="1"/>
        <v>0</v>
      </c>
      <c r="Q11" s="228" t="str">
        <f t="shared" si="2"/>
        <v/>
      </c>
      <c r="R11" s="228" t="str">
        <f t="shared" si="3"/>
        <v/>
      </c>
      <c r="S11" s="228" t="str">
        <f t="shared" si="4"/>
        <v/>
      </c>
      <c r="T11" s="142"/>
      <c r="U11" s="232"/>
      <c r="V11" s="139"/>
    </row>
    <row r="12" spans="1:35" x14ac:dyDescent="0.2">
      <c r="A12" s="306"/>
      <c r="B12" s="306"/>
      <c r="C12" s="315"/>
      <c r="D12" s="244"/>
      <c r="E12" s="229"/>
      <c r="F12" s="229"/>
      <c r="G12" s="229"/>
      <c r="H12" s="229"/>
      <c r="I12" s="228"/>
      <c r="J12" s="228"/>
      <c r="K12" s="228"/>
      <c r="L12" s="228">
        <f>E12+0.6</f>
        <v>0.6</v>
      </c>
      <c r="M12" s="244">
        <f>E12*H12</f>
        <v>0</v>
      </c>
      <c r="N12" s="244">
        <v>3</v>
      </c>
      <c r="O12" s="228">
        <f t="shared" si="0"/>
        <v>0</v>
      </c>
      <c r="P12" s="228" t="str">
        <f t="shared" si="1"/>
        <v/>
      </c>
      <c r="Q12" s="228" t="str">
        <f t="shared" si="2"/>
        <v/>
      </c>
      <c r="R12" s="228" t="str">
        <f t="shared" si="3"/>
        <v/>
      </c>
      <c r="S12" s="228" t="str">
        <f t="shared" si="4"/>
        <v/>
      </c>
      <c r="T12" s="142"/>
      <c r="U12" s="232"/>
      <c r="V12" s="139"/>
    </row>
    <row r="13" spans="1:35" x14ac:dyDescent="0.2">
      <c r="A13" s="306"/>
      <c r="B13" s="306"/>
      <c r="C13" s="313"/>
      <c r="D13" s="244"/>
      <c r="E13" s="229"/>
      <c r="F13" s="229"/>
      <c r="G13" s="229"/>
      <c r="H13" s="229"/>
      <c r="I13" s="228">
        <f>E13*F13*D13+F13*2</f>
        <v>0</v>
      </c>
      <c r="J13" s="228">
        <f>H13*E13</f>
        <v>0</v>
      </c>
      <c r="K13" s="228">
        <f>E13*F13*G13*D13*1.1+H13*0.5*0.18*0.3*1.1</f>
        <v>0</v>
      </c>
      <c r="L13" s="228">
        <f>E13+0.6</f>
        <v>0.6</v>
      </c>
      <c r="M13" s="244">
        <f>2*F13/0.2</f>
        <v>0</v>
      </c>
      <c r="N13" s="244">
        <v>5</v>
      </c>
      <c r="O13" s="228" t="str">
        <f t="shared" si="0"/>
        <v/>
      </c>
      <c r="P13" s="228" t="str">
        <f t="shared" si="1"/>
        <v/>
      </c>
      <c r="Q13" s="228">
        <f t="shared" si="2"/>
        <v>0</v>
      </c>
      <c r="R13" s="228" t="str">
        <f t="shared" si="3"/>
        <v/>
      </c>
      <c r="S13" s="228" t="str">
        <f t="shared" si="4"/>
        <v/>
      </c>
      <c r="T13" s="142"/>
      <c r="U13" s="232"/>
    </row>
    <row r="14" spans="1:35" x14ac:dyDescent="0.2">
      <c r="A14" s="306"/>
      <c r="B14" s="306"/>
      <c r="C14" s="314"/>
      <c r="D14" s="244"/>
      <c r="E14" s="229"/>
      <c r="F14" s="229"/>
      <c r="G14" s="229"/>
      <c r="H14" s="229"/>
      <c r="I14" s="228"/>
      <c r="J14" s="228"/>
      <c r="K14" s="228"/>
      <c r="L14" s="228">
        <f>F14+0.6</f>
        <v>0.6</v>
      </c>
      <c r="M14" s="244">
        <f>2*E14/0.2</f>
        <v>0</v>
      </c>
      <c r="N14" s="244">
        <v>4</v>
      </c>
      <c r="O14" s="228" t="str">
        <f t="shared" si="0"/>
        <v/>
      </c>
      <c r="P14" s="228">
        <f t="shared" si="1"/>
        <v>0</v>
      </c>
      <c r="Q14" s="228" t="str">
        <f t="shared" si="2"/>
        <v/>
      </c>
      <c r="R14" s="228" t="str">
        <f t="shared" si="3"/>
        <v/>
      </c>
      <c r="S14" s="228" t="str">
        <f t="shared" si="4"/>
        <v/>
      </c>
      <c r="T14" s="142"/>
      <c r="U14" s="232"/>
      <c r="V14" s="139"/>
    </row>
    <row r="15" spans="1:35" x14ac:dyDescent="0.2">
      <c r="A15" s="306"/>
      <c r="B15" s="306"/>
      <c r="C15" s="313"/>
      <c r="D15" s="244"/>
      <c r="E15" s="229"/>
      <c r="F15" s="229"/>
      <c r="G15" s="229"/>
      <c r="H15" s="229"/>
      <c r="I15" s="228">
        <f>E15*F15*D15+F15*2</f>
        <v>0</v>
      </c>
      <c r="J15" s="228">
        <f>H15*E15</f>
        <v>0</v>
      </c>
      <c r="K15" s="228">
        <f>E15*F15*G15*D15*1.1+H15*0.5*0.18*0.3*1.1</f>
        <v>0</v>
      </c>
      <c r="L15" s="228">
        <f>F15+1.2</f>
        <v>1.2</v>
      </c>
      <c r="M15" s="244">
        <f>E15/0.2</f>
        <v>0</v>
      </c>
      <c r="N15" s="244">
        <v>5</v>
      </c>
      <c r="O15" s="228" t="str">
        <f t="shared" si="0"/>
        <v/>
      </c>
      <c r="P15" s="228" t="str">
        <f t="shared" si="1"/>
        <v/>
      </c>
      <c r="Q15" s="228">
        <f t="shared" si="2"/>
        <v>0</v>
      </c>
      <c r="R15" s="228" t="str">
        <f t="shared" si="3"/>
        <v/>
      </c>
      <c r="S15" s="228" t="str">
        <f t="shared" si="4"/>
        <v/>
      </c>
      <c r="T15" s="142"/>
      <c r="U15" s="232"/>
      <c r="V15" s="139"/>
    </row>
    <row r="16" spans="1:35" x14ac:dyDescent="0.2">
      <c r="A16" s="306"/>
      <c r="B16" s="306"/>
      <c r="C16" s="314"/>
      <c r="D16" s="244"/>
      <c r="E16" s="229"/>
      <c r="F16" s="229"/>
      <c r="G16" s="229"/>
      <c r="H16" s="229"/>
      <c r="I16" s="228"/>
      <c r="J16" s="228"/>
      <c r="K16" s="228"/>
      <c r="L16" s="228">
        <f>F16+1.2</f>
        <v>1.2</v>
      </c>
      <c r="M16" s="244">
        <f>E16/0.2</f>
        <v>0</v>
      </c>
      <c r="N16" s="244">
        <v>5</v>
      </c>
      <c r="O16" s="228" t="str">
        <f t="shared" si="0"/>
        <v/>
      </c>
      <c r="P16" s="228" t="str">
        <f t="shared" si="1"/>
        <v/>
      </c>
      <c r="Q16" s="228">
        <f t="shared" si="2"/>
        <v>0</v>
      </c>
      <c r="R16" s="228" t="str">
        <f t="shared" si="3"/>
        <v/>
      </c>
      <c r="S16" s="228" t="str">
        <f t="shared" si="4"/>
        <v/>
      </c>
      <c r="T16" s="142"/>
      <c r="U16" s="232"/>
      <c r="V16" s="139"/>
    </row>
    <row r="17" spans="1:35" x14ac:dyDescent="0.2">
      <c r="A17" s="306"/>
      <c r="B17" s="306"/>
      <c r="C17" s="314"/>
      <c r="D17" s="244"/>
      <c r="E17" s="229"/>
      <c r="F17" s="229"/>
      <c r="G17" s="229"/>
      <c r="H17" s="229"/>
      <c r="I17" s="228"/>
      <c r="J17" s="228"/>
      <c r="K17" s="228"/>
      <c r="L17" s="228">
        <f>F15+0.6</f>
        <v>0.6</v>
      </c>
      <c r="M17" s="244">
        <f>2*F17/0.2</f>
        <v>0</v>
      </c>
      <c r="N17" s="244">
        <v>4</v>
      </c>
      <c r="O17" s="228" t="str">
        <f t="shared" si="0"/>
        <v/>
      </c>
      <c r="P17" s="228">
        <f t="shared" si="1"/>
        <v>0</v>
      </c>
      <c r="Q17" s="228" t="str">
        <f t="shared" si="2"/>
        <v/>
      </c>
      <c r="R17" s="228" t="str">
        <f t="shared" si="3"/>
        <v/>
      </c>
      <c r="S17" s="228" t="str">
        <f t="shared" si="4"/>
        <v/>
      </c>
      <c r="T17" s="142"/>
      <c r="U17" s="232"/>
      <c r="V17" s="139"/>
    </row>
    <row r="18" spans="1:35" x14ac:dyDescent="0.2">
      <c r="A18" s="306"/>
      <c r="B18" s="306"/>
      <c r="C18" s="315"/>
      <c r="D18" s="244"/>
      <c r="E18" s="229"/>
      <c r="F18" s="229"/>
      <c r="G18" s="229"/>
      <c r="H18" s="229"/>
      <c r="I18" s="228"/>
      <c r="J18" s="228"/>
      <c r="K18" s="228"/>
      <c r="L18" s="228">
        <f>E18+0.6</f>
        <v>0.6</v>
      </c>
      <c r="M18" s="244">
        <f>E18*H18</f>
        <v>0</v>
      </c>
      <c r="N18" s="244">
        <v>3</v>
      </c>
      <c r="O18" s="228">
        <f t="shared" si="0"/>
        <v>0</v>
      </c>
      <c r="P18" s="228" t="str">
        <f t="shared" si="1"/>
        <v/>
      </c>
      <c r="Q18" s="228" t="str">
        <f t="shared" si="2"/>
        <v/>
      </c>
      <c r="R18" s="228" t="str">
        <f t="shared" si="3"/>
        <v/>
      </c>
      <c r="S18" s="228" t="str">
        <f t="shared" si="4"/>
        <v/>
      </c>
      <c r="T18" s="142"/>
      <c r="U18" s="232"/>
      <c r="V18" s="139"/>
    </row>
    <row r="19" spans="1:35" x14ac:dyDescent="0.2">
      <c r="A19" s="306"/>
      <c r="B19" s="306"/>
      <c r="C19" s="313"/>
      <c r="D19" s="244"/>
      <c r="E19" s="229"/>
      <c r="F19" s="229"/>
      <c r="G19" s="229"/>
      <c r="H19" s="229"/>
      <c r="I19" s="228">
        <f>E19*F19*D19+F19*2</f>
        <v>0</v>
      </c>
      <c r="J19" s="228">
        <f>H19*E19</f>
        <v>0</v>
      </c>
      <c r="K19" s="228">
        <f>E19*F19*G19*D19*1.1+H19*0.5*0.18*0.3*1.1</f>
        <v>0</v>
      </c>
      <c r="L19" s="228">
        <f>E19+0.6</f>
        <v>0.6</v>
      </c>
      <c r="M19" s="244">
        <f>2*F19/0.2</f>
        <v>0</v>
      </c>
      <c r="N19" s="244">
        <v>5</v>
      </c>
      <c r="O19" s="228" t="str">
        <f t="shared" si="0"/>
        <v/>
      </c>
      <c r="P19" s="228" t="str">
        <f t="shared" si="1"/>
        <v/>
      </c>
      <c r="Q19" s="228">
        <f t="shared" si="2"/>
        <v>0</v>
      </c>
      <c r="R19" s="228" t="str">
        <f t="shared" si="3"/>
        <v/>
      </c>
      <c r="S19" s="228" t="str">
        <f t="shared" si="4"/>
        <v/>
      </c>
      <c r="T19" s="142"/>
      <c r="U19" s="232"/>
      <c r="V19" s="139"/>
    </row>
    <row r="20" spans="1:35" x14ac:dyDescent="0.2">
      <c r="A20" s="306"/>
      <c r="B20" s="306"/>
      <c r="C20" s="314"/>
      <c r="D20" s="244"/>
      <c r="E20" s="229"/>
      <c r="F20" s="229"/>
      <c r="G20" s="229"/>
      <c r="H20" s="229"/>
      <c r="I20" s="228"/>
      <c r="J20" s="228"/>
      <c r="K20" s="228"/>
      <c r="L20" s="228">
        <f>F20+0.6</f>
        <v>0.6</v>
      </c>
      <c r="M20" s="244">
        <f>2*E20/0.2</f>
        <v>0</v>
      </c>
      <c r="N20" s="244">
        <v>4</v>
      </c>
      <c r="O20" s="228" t="str">
        <f t="shared" si="0"/>
        <v/>
      </c>
      <c r="P20" s="228">
        <f t="shared" si="1"/>
        <v>0</v>
      </c>
      <c r="Q20" s="228" t="str">
        <f t="shared" si="2"/>
        <v/>
      </c>
      <c r="R20" s="228" t="str">
        <f t="shared" si="3"/>
        <v/>
      </c>
      <c r="S20" s="228" t="str">
        <f t="shared" si="4"/>
        <v/>
      </c>
      <c r="T20" s="142"/>
      <c r="U20" s="232"/>
      <c r="V20" s="139"/>
    </row>
    <row r="21" spans="1:35" x14ac:dyDescent="0.2">
      <c r="A21" s="306"/>
      <c r="B21" s="306"/>
      <c r="C21" s="313"/>
      <c r="D21" s="244"/>
      <c r="E21" s="229"/>
      <c r="F21" s="229"/>
      <c r="G21" s="229"/>
      <c r="H21" s="229"/>
      <c r="I21" s="228">
        <f>E21*F21*D21+F21*2</f>
        <v>0</v>
      </c>
      <c r="J21" s="228">
        <f>H21*E21</f>
        <v>0</v>
      </c>
      <c r="K21" s="228">
        <f>E21*F21*G21*D21*1.1+H21*0.5*0.18*0.3*1.1</f>
        <v>0</v>
      </c>
      <c r="L21" s="228">
        <f>F21+1.2</f>
        <v>1.2</v>
      </c>
      <c r="M21" s="244">
        <f>E21/0.2</f>
        <v>0</v>
      </c>
      <c r="N21" s="244">
        <v>5</v>
      </c>
      <c r="O21" s="228" t="str">
        <f t="shared" si="0"/>
        <v/>
      </c>
      <c r="P21" s="228" t="str">
        <f t="shared" si="1"/>
        <v/>
      </c>
      <c r="Q21" s="228">
        <f t="shared" si="2"/>
        <v>0</v>
      </c>
      <c r="R21" s="228" t="str">
        <f t="shared" si="3"/>
        <v/>
      </c>
      <c r="S21" s="228" t="str">
        <f t="shared" si="4"/>
        <v/>
      </c>
      <c r="T21" s="142"/>
      <c r="U21" s="232"/>
      <c r="V21" s="139"/>
    </row>
    <row r="22" spans="1:35" x14ac:dyDescent="0.2">
      <c r="A22" s="306"/>
      <c r="B22" s="306"/>
      <c r="C22" s="314"/>
      <c r="D22" s="244"/>
      <c r="E22" s="229"/>
      <c r="F22" s="229"/>
      <c r="G22" s="229"/>
      <c r="H22" s="229"/>
      <c r="I22" s="228"/>
      <c r="J22" s="228"/>
      <c r="K22" s="228"/>
      <c r="L22" s="228">
        <f>F22+1.2</f>
        <v>1.2</v>
      </c>
      <c r="M22" s="244">
        <f>E22/0.2</f>
        <v>0</v>
      </c>
      <c r="N22" s="244">
        <v>5</v>
      </c>
      <c r="O22" s="228" t="str">
        <f t="shared" si="0"/>
        <v/>
      </c>
      <c r="P22" s="228" t="str">
        <f t="shared" si="1"/>
        <v/>
      </c>
      <c r="Q22" s="228">
        <f t="shared" si="2"/>
        <v>0</v>
      </c>
      <c r="R22" s="228" t="str">
        <f t="shared" si="3"/>
        <v/>
      </c>
      <c r="S22" s="228" t="str">
        <f t="shared" si="4"/>
        <v/>
      </c>
      <c r="T22" s="142"/>
      <c r="U22" s="232"/>
      <c r="V22" s="139"/>
    </row>
    <row r="23" spans="1:35" x14ac:dyDescent="0.2">
      <c r="A23" s="306"/>
      <c r="B23" s="306"/>
      <c r="C23" s="314"/>
      <c r="D23" s="244"/>
      <c r="E23" s="229"/>
      <c r="F23" s="229"/>
      <c r="G23" s="229"/>
      <c r="H23" s="229"/>
      <c r="I23" s="228"/>
      <c r="J23" s="228"/>
      <c r="K23" s="228"/>
      <c r="L23" s="228">
        <f>F21+0.6</f>
        <v>0.6</v>
      </c>
      <c r="M23" s="244">
        <f>2*F23/0.2</f>
        <v>0</v>
      </c>
      <c r="N23" s="244">
        <v>4</v>
      </c>
      <c r="O23" s="228" t="str">
        <f t="shared" si="0"/>
        <v/>
      </c>
      <c r="P23" s="228">
        <f t="shared" si="1"/>
        <v>0</v>
      </c>
      <c r="Q23" s="228" t="str">
        <f t="shared" si="2"/>
        <v/>
      </c>
      <c r="R23" s="228" t="str">
        <f t="shared" si="3"/>
        <v/>
      </c>
      <c r="S23" s="228" t="str">
        <f t="shared" si="4"/>
        <v/>
      </c>
      <c r="T23" s="142"/>
      <c r="U23" s="232"/>
      <c r="V23" s="139"/>
    </row>
    <row r="24" spans="1:35" x14ac:dyDescent="0.2">
      <c r="A24" s="306"/>
      <c r="B24" s="306"/>
      <c r="C24" s="315"/>
      <c r="D24" s="244"/>
      <c r="E24" s="229"/>
      <c r="F24" s="229"/>
      <c r="G24" s="229"/>
      <c r="H24" s="229"/>
      <c r="I24" s="228"/>
      <c r="J24" s="228"/>
      <c r="K24" s="228"/>
      <c r="L24" s="228">
        <f>E24+0.6</f>
        <v>0.6</v>
      </c>
      <c r="M24" s="244">
        <f>E24*H24</f>
        <v>0</v>
      </c>
      <c r="N24" s="244">
        <v>3</v>
      </c>
      <c r="O24" s="228">
        <f t="shared" si="0"/>
        <v>0</v>
      </c>
      <c r="P24" s="228" t="str">
        <f t="shared" si="1"/>
        <v/>
      </c>
      <c r="Q24" s="228" t="str">
        <f t="shared" si="2"/>
        <v/>
      </c>
      <c r="R24" s="228" t="str">
        <f t="shared" si="3"/>
        <v/>
      </c>
      <c r="S24" s="228" t="str">
        <f t="shared" si="4"/>
        <v/>
      </c>
      <c r="T24" s="142"/>
      <c r="U24" s="232"/>
      <c r="V24" s="139"/>
    </row>
    <row r="25" spans="1:35" x14ac:dyDescent="0.2">
      <c r="A25" s="306"/>
      <c r="B25" s="306"/>
      <c r="C25" s="313"/>
      <c r="D25" s="244"/>
      <c r="E25" s="229"/>
      <c r="F25" s="229"/>
      <c r="G25" s="229"/>
      <c r="H25" s="229"/>
      <c r="I25" s="228">
        <f>E25*F25*D25+F25*2</f>
        <v>0</v>
      </c>
      <c r="J25" s="228">
        <f>H25*E25</f>
        <v>0</v>
      </c>
      <c r="K25" s="228">
        <f>E25*F25*G25*D25*1.1+H25*0.5*0.18*0.3*1.1</f>
        <v>0</v>
      </c>
      <c r="L25" s="228">
        <f>E25+0.6</f>
        <v>0.6</v>
      </c>
      <c r="M25" s="244">
        <f>2*F25/0.2</f>
        <v>0</v>
      </c>
      <c r="N25" s="244">
        <v>5</v>
      </c>
      <c r="O25" s="228" t="str">
        <f t="shared" si="0"/>
        <v/>
      </c>
      <c r="P25" s="228" t="str">
        <f t="shared" si="1"/>
        <v/>
      </c>
      <c r="Q25" s="228">
        <f t="shared" si="2"/>
        <v>0</v>
      </c>
      <c r="R25" s="228" t="str">
        <f t="shared" si="3"/>
        <v/>
      </c>
      <c r="S25" s="228" t="str">
        <f t="shared" si="4"/>
        <v/>
      </c>
      <c r="T25" s="142"/>
      <c r="U25" s="232"/>
    </row>
    <row r="26" spans="1:35" x14ac:dyDescent="0.2">
      <c r="A26" s="306"/>
      <c r="B26" s="306"/>
      <c r="C26" s="315"/>
      <c r="D26" s="244"/>
      <c r="E26" s="229"/>
      <c r="F26" s="229"/>
      <c r="G26" s="229"/>
      <c r="H26" s="229"/>
      <c r="I26" s="228"/>
      <c r="J26" s="228"/>
      <c r="K26" s="228"/>
      <c r="L26" s="228">
        <f>F26+0.6</f>
        <v>0.6</v>
      </c>
      <c r="M26" s="244">
        <f>2*E26/0.2</f>
        <v>0</v>
      </c>
      <c r="N26" s="244">
        <v>4</v>
      </c>
      <c r="O26" s="228" t="str">
        <f t="shared" si="0"/>
        <v/>
      </c>
      <c r="P26" s="228">
        <f t="shared" si="1"/>
        <v>0</v>
      </c>
      <c r="Q26" s="228" t="str">
        <f t="shared" si="2"/>
        <v/>
      </c>
      <c r="R26" s="228" t="str">
        <f t="shared" si="3"/>
        <v/>
      </c>
      <c r="S26" s="228" t="str">
        <f t="shared" si="4"/>
        <v/>
      </c>
      <c r="T26" s="142"/>
      <c r="U26" s="232"/>
      <c r="V26" s="139"/>
    </row>
    <row r="27" spans="1:35" s="121" customFormat="1" x14ac:dyDescent="0.25">
      <c r="A27" s="309"/>
      <c r="B27" s="310"/>
      <c r="C27" s="311"/>
      <c r="D27" s="243"/>
      <c r="E27" s="311"/>
      <c r="F27" s="312"/>
      <c r="G27" s="316"/>
      <c r="H27" s="316"/>
      <c r="I27" s="317">
        <f>(E27+F27)*2*G27</f>
        <v>0</v>
      </c>
      <c r="J27" s="319"/>
      <c r="K27" s="321">
        <f>D27*E27*F27*G27</f>
        <v>0</v>
      </c>
      <c r="L27" s="242">
        <f>F27+0.3</f>
        <v>0.3</v>
      </c>
      <c r="M27" s="241">
        <f>F27/0.2</f>
        <v>0</v>
      </c>
      <c r="N27" s="241">
        <v>4</v>
      </c>
      <c r="O27" s="228" t="str">
        <f t="shared" si="0"/>
        <v/>
      </c>
      <c r="P27" s="228">
        <f t="shared" si="1"/>
        <v>0</v>
      </c>
      <c r="Q27" s="228" t="str">
        <f t="shared" si="2"/>
        <v/>
      </c>
      <c r="R27" s="228" t="str">
        <f t="shared" si="3"/>
        <v/>
      </c>
      <c r="S27" s="228" t="str">
        <f t="shared" si="4"/>
        <v/>
      </c>
      <c r="T27" s="239"/>
      <c r="U27" s="238"/>
      <c r="V27" s="238"/>
      <c r="W27" s="192"/>
      <c r="X27" s="192"/>
      <c r="Y27" s="192"/>
      <c r="Z27" s="240"/>
      <c r="AA27" s="239"/>
      <c r="AB27" s="238"/>
      <c r="AC27" s="120"/>
      <c r="AD27" s="120"/>
      <c r="AE27" s="120"/>
      <c r="AF27" s="120"/>
      <c r="AG27" s="120"/>
      <c r="AH27" s="120"/>
      <c r="AI27" s="120"/>
    </row>
    <row r="28" spans="1:35" s="121" customFormat="1" x14ac:dyDescent="0.25">
      <c r="A28" s="309"/>
      <c r="B28" s="310"/>
      <c r="C28" s="311"/>
      <c r="D28" s="243"/>
      <c r="E28" s="311"/>
      <c r="F28" s="312"/>
      <c r="G28" s="316"/>
      <c r="H28" s="316"/>
      <c r="I28" s="318"/>
      <c r="J28" s="320"/>
      <c r="K28" s="322"/>
      <c r="L28" s="242">
        <f>E27+0.3</f>
        <v>0.3</v>
      </c>
      <c r="M28" s="241">
        <f>F27/0.2</f>
        <v>0</v>
      </c>
      <c r="N28" s="241">
        <v>4</v>
      </c>
      <c r="O28" s="228" t="str">
        <f t="shared" si="0"/>
        <v/>
      </c>
      <c r="P28" s="228">
        <f t="shared" si="1"/>
        <v>0</v>
      </c>
      <c r="Q28" s="228" t="str">
        <f t="shared" si="2"/>
        <v/>
      </c>
      <c r="R28" s="228" t="str">
        <f>+IF(P28=4,G28*O28*N28*3.281*0.668,"")</f>
        <v/>
      </c>
      <c r="S28" s="228" t="str">
        <f t="shared" si="4"/>
        <v/>
      </c>
      <c r="T28" s="239"/>
      <c r="U28" s="238"/>
      <c r="V28" s="238"/>
      <c r="W28" s="192"/>
      <c r="X28" s="192"/>
      <c r="Y28" s="192"/>
      <c r="Z28" s="240"/>
      <c r="AA28" s="239"/>
      <c r="AB28" s="238"/>
      <c r="AC28" s="120"/>
      <c r="AD28" s="120"/>
      <c r="AE28" s="120"/>
      <c r="AF28" s="120"/>
      <c r="AG28" s="120"/>
      <c r="AH28" s="120"/>
      <c r="AI28" s="120"/>
    </row>
    <row r="29" spans="1:35" x14ac:dyDescent="0.2">
      <c r="D29" s="231"/>
      <c r="I29" s="237">
        <f>SUM(I7:I28)</f>
        <v>0</v>
      </c>
      <c r="J29" s="237">
        <f>SUM(J7:J28)</f>
        <v>0</v>
      </c>
      <c r="K29" s="237">
        <f>SUM(K7:K28)</f>
        <v>0</v>
      </c>
      <c r="L29" s="96"/>
      <c r="M29" s="236"/>
      <c r="N29" s="236"/>
      <c r="O29" s="237">
        <f>SUM(O7:O28)</f>
        <v>0</v>
      </c>
      <c r="P29" s="237">
        <f>SUM(P7:P28)</f>
        <v>0</v>
      </c>
      <c r="Q29" s="237">
        <f>SUM(Q7:Q28)</f>
        <v>0</v>
      </c>
      <c r="R29" s="237">
        <f>SUM(R7:R28)</f>
        <v>0</v>
      </c>
      <c r="S29" s="237">
        <f>SUM(S7:S28)</f>
        <v>0</v>
      </c>
      <c r="T29" s="142"/>
      <c r="U29" s="232"/>
    </row>
    <row r="31" spans="1:35" x14ac:dyDescent="0.2">
      <c r="A31" s="220" t="s">
        <v>283</v>
      </c>
      <c r="B31" s="220" t="s">
        <v>267</v>
      </c>
      <c r="C31" s="304" t="s">
        <v>279</v>
      </c>
      <c r="D31" s="305"/>
      <c r="E31" s="220" t="s">
        <v>200</v>
      </c>
      <c r="F31" s="220" t="s">
        <v>280</v>
      </c>
      <c r="G31" s="221" t="s">
        <v>281</v>
      </c>
      <c r="H31" s="221" t="s">
        <v>282</v>
      </c>
      <c r="I31" s="222"/>
      <c r="J31" s="222"/>
      <c r="K31" s="222"/>
      <c r="L31" s="223"/>
      <c r="M31" s="224"/>
      <c r="N31" s="224"/>
      <c r="O31" s="222"/>
      <c r="P31" s="222"/>
      <c r="Q31" s="222"/>
      <c r="R31" s="222"/>
      <c r="S31" s="222"/>
      <c r="T31" s="73"/>
      <c r="U31" s="225"/>
      <c r="V31" s="139"/>
    </row>
    <row r="32" spans="1:35" x14ac:dyDescent="0.2">
      <c r="A32" s="220"/>
      <c r="B32" s="220"/>
      <c r="C32" s="304" t="s">
        <v>205</v>
      </c>
      <c r="D32" s="305"/>
      <c r="E32" s="220" t="s">
        <v>27</v>
      </c>
      <c r="F32" s="220" t="s">
        <v>62</v>
      </c>
      <c r="G32" s="221" t="s">
        <v>221</v>
      </c>
      <c r="H32" s="221" t="s">
        <v>62</v>
      </c>
      <c r="I32" s="222"/>
      <c r="J32" s="222"/>
      <c r="K32" s="226"/>
      <c r="L32" s="227"/>
      <c r="M32" s="224"/>
      <c r="N32" s="224"/>
      <c r="O32" s="226"/>
      <c r="P32" s="222"/>
      <c r="Q32" s="226"/>
      <c r="R32" s="222"/>
      <c r="S32" s="226"/>
      <c r="T32" s="73"/>
      <c r="U32" s="225"/>
      <c r="V32" s="139"/>
    </row>
    <row r="33" spans="1:22" x14ac:dyDescent="0.2">
      <c r="A33" s="306"/>
      <c r="B33" s="306"/>
      <c r="C33" s="307"/>
      <c r="D33" s="308"/>
      <c r="E33" s="229"/>
      <c r="F33" s="229"/>
      <c r="G33" s="229"/>
      <c r="H33" s="228">
        <f t="shared" ref="H33:H38" si="5">E33*G33*3.281*F33*1.25</f>
        <v>0</v>
      </c>
      <c r="I33" s="230"/>
      <c r="J33" s="230"/>
      <c r="K33" s="230"/>
      <c r="L33" s="230"/>
      <c r="M33" s="231"/>
      <c r="N33" s="231"/>
      <c r="O33" s="230"/>
      <c r="P33" s="230"/>
      <c r="Q33" s="230"/>
      <c r="R33" s="230"/>
      <c r="S33" s="230"/>
      <c r="T33" s="142"/>
      <c r="U33" s="232"/>
      <c r="V33" s="139"/>
    </row>
    <row r="34" spans="1:22" x14ac:dyDescent="0.2">
      <c r="A34" s="306"/>
      <c r="B34" s="306"/>
      <c r="C34" s="307"/>
      <c r="D34" s="308"/>
      <c r="E34" s="229"/>
      <c r="F34" s="229"/>
      <c r="G34" s="229"/>
      <c r="H34" s="228">
        <f t="shared" si="5"/>
        <v>0</v>
      </c>
      <c r="I34" s="230"/>
      <c r="J34" s="230"/>
      <c r="K34" s="230"/>
      <c r="L34" s="230"/>
      <c r="M34" s="231"/>
      <c r="N34" s="231"/>
      <c r="O34" s="230"/>
      <c r="P34" s="230"/>
      <c r="Q34" s="230"/>
      <c r="R34" s="230"/>
      <c r="S34" s="230"/>
      <c r="T34" s="142"/>
      <c r="U34" s="232"/>
      <c r="V34" s="139"/>
    </row>
    <row r="35" spans="1:22" x14ac:dyDescent="0.2">
      <c r="A35" s="306"/>
      <c r="B35" s="306"/>
      <c r="C35" s="307"/>
      <c r="D35" s="308"/>
      <c r="E35" s="229"/>
      <c r="F35" s="229"/>
      <c r="G35" s="229"/>
      <c r="H35" s="228">
        <f t="shared" si="5"/>
        <v>0</v>
      </c>
      <c r="I35" s="230"/>
      <c r="J35" s="230"/>
      <c r="K35" s="230"/>
      <c r="L35" s="230"/>
      <c r="M35" s="231"/>
      <c r="N35" s="231"/>
      <c r="O35" s="230"/>
      <c r="P35" s="230"/>
      <c r="Q35" s="230"/>
      <c r="R35" s="230"/>
      <c r="S35" s="230"/>
      <c r="T35" s="142"/>
      <c r="U35" s="232"/>
      <c r="V35" s="139"/>
    </row>
    <row r="36" spans="1:22" x14ac:dyDescent="0.2">
      <c r="A36" s="306"/>
      <c r="B36" s="306"/>
      <c r="C36" s="307"/>
      <c r="D36" s="308"/>
      <c r="E36" s="229"/>
      <c r="F36" s="229"/>
      <c r="G36" s="229"/>
      <c r="H36" s="228">
        <f t="shared" si="5"/>
        <v>0</v>
      </c>
      <c r="I36" s="230"/>
      <c r="J36" s="230"/>
      <c r="K36" s="230"/>
      <c r="L36" s="230"/>
      <c r="M36" s="231"/>
      <c r="N36" s="231"/>
      <c r="O36" s="230"/>
      <c r="P36" s="230"/>
      <c r="Q36" s="230"/>
      <c r="R36" s="230"/>
      <c r="S36" s="230"/>
      <c r="T36" s="142"/>
      <c r="U36" s="232"/>
      <c r="V36" s="139"/>
    </row>
    <row r="37" spans="1:22" x14ac:dyDescent="0.2">
      <c r="A37" s="306"/>
      <c r="B37" s="306"/>
      <c r="C37" s="307"/>
      <c r="D37" s="308"/>
      <c r="E37" s="229"/>
      <c r="F37" s="229"/>
      <c r="G37" s="229"/>
      <c r="H37" s="228">
        <f t="shared" si="5"/>
        <v>0</v>
      </c>
      <c r="I37" s="230"/>
      <c r="J37" s="230"/>
      <c r="K37" s="230"/>
      <c r="L37" s="230"/>
      <c r="M37" s="231"/>
      <c r="N37" s="231"/>
      <c r="O37" s="230"/>
      <c r="P37" s="230"/>
      <c r="Q37" s="230"/>
      <c r="R37" s="230"/>
      <c r="S37" s="230"/>
      <c r="T37" s="142"/>
      <c r="U37" s="232"/>
      <c r="V37" s="139"/>
    </row>
    <row r="38" spans="1:22" x14ac:dyDescent="0.2">
      <c r="A38" s="306"/>
      <c r="B38" s="306"/>
      <c r="C38" s="307"/>
      <c r="D38" s="308"/>
      <c r="E38" s="229"/>
      <c r="F38" s="229"/>
      <c r="G38" s="229"/>
      <c r="H38" s="228">
        <f t="shared" si="5"/>
        <v>0</v>
      </c>
      <c r="I38" s="230"/>
      <c r="J38" s="230"/>
      <c r="K38" s="230"/>
      <c r="L38" s="230"/>
      <c r="M38" s="231"/>
      <c r="N38" s="231"/>
      <c r="O38" s="230"/>
      <c r="P38" s="230"/>
      <c r="Q38" s="230"/>
      <c r="R38" s="230"/>
      <c r="S38" s="230"/>
      <c r="T38" s="142"/>
      <c r="U38" s="232"/>
    </row>
    <row r="39" spans="1:22" x14ac:dyDescent="0.2">
      <c r="A39" s="306"/>
      <c r="B39" s="306"/>
      <c r="C39" s="307"/>
      <c r="D39" s="308"/>
      <c r="E39" s="229"/>
      <c r="F39" s="229"/>
      <c r="G39" s="229"/>
      <c r="H39" s="228">
        <f>E39*G39*F39*1.25</f>
        <v>0</v>
      </c>
      <c r="I39" s="230"/>
      <c r="J39" s="230"/>
      <c r="K39" s="230"/>
      <c r="L39" s="230"/>
      <c r="M39" s="231"/>
      <c r="N39" s="231"/>
      <c r="O39" s="230"/>
      <c r="P39" s="230"/>
      <c r="Q39" s="230"/>
      <c r="R39" s="230"/>
      <c r="S39" s="230"/>
      <c r="T39" s="142"/>
      <c r="U39" s="232"/>
      <c r="V39" s="139"/>
    </row>
    <row r="40" spans="1:22" x14ac:dyDescent="0.2">
      <c r="A40" s="306"/>
      <c r="B40" s="306"/>
      <c r="C40" s="307"/>
      <c r="D40" s="308"/>
      <c r="E40" s="229"/>
      <c r="F40" s="229"/>
      <c r="G40" s="229"/>
      <c r="H40" s="228">
        <f>E40*G40*3.281*F40*1.25</f>
        <v>0</v>
      </c>
      <c r="I40" s="230"/>
      <c r="J40" s="230"/>
      <c r="K40" s="230"/>
      <c r="L40" s="230"/>
      <c r="M40" s="231"/>
      <c r="N40" s="231"/>
      <c r="O40" s="230"/>
      <c r="P40" s="230"/>
      <c r="Q40" s="230"/>
      <c r="R40" s="230"/>
      <c r="S40" s="230"/>
      <c r="T40" s="142"/>
      <c r="U40" s="232"/>
      <c r="V40" s="139"/>
    </row>
    <row r="41" spans="1:22" x14ac:dyDescent="0.2">
      <c r="A41" s="306"/>
      <c r="B41" s="306"/>
      <c r="C41" s="307"/>
      <c r="D41" s="308"/>
      <c r="E41" s="229"/>
      <c r="F41" s="229"/>
      <c r="G41" s="229"/>
      <c r="H41" s="228">
        <f>E41*G41*3.281*F41*1.25</f>
        <v>0</v>
      </c>
      <c r="I41" s="230"/>
      <c r="J41" s="230"/>
      <c r="K41" s="230"/>
      <c r="L41" s="230"/>
      <c r="M41" s="231"/>
      <c r="N41" s="231"/>
      <c r="O41" s="230"/>
      <c r="P41" s="230"/>
      <c r="Q41" s="230"/>
      <c r="R41" s="230"/>
      <c r="S41" s="230"/>
      <c r="T41" s="142"/>
      <c r="U41" s="232"/>
      <c r="V41" s="139"/>
    </row>
    <row r="42" spans="1:22" x14ac:dyDescent="0.2">
      <c r="A42" s="306"/>
      <c r="B42" s="306"/>
      <c r="C42" s="307"/>
      <c r="D42" s="308"/>
      <c r="E42" s="229"/>
      <c r="F42" s="229"/>
      <c r="G42" s="229"/>
      <c r="H42" s="228">
        <f>E42*G42*3.281*F42*1.25</f>
        <v>0</v>
      </c>
      <c r="I42" s="230"/>
      <c r="J42" s="230"/>
      <c r="K42" s="230"/>
      <c r="L42" s="230"/>
      <c r="M42" s="231"/>
      <c r="N42" s="231"/>
      <c r="O42" s="230"/>
      <c r="P42" s="230"/>
      <c r="Q42" s="230"/>
      <c r="R42" s="230"/>
      <c r="S42" s="230"/>
      <c r="T42" s="142"/>
      <c r="U42" s="232"/>
      <c r="V42" s="139"/>
    </row>
    <row r="43" spans="1:22" x14ac:dyDescent="0.2">
      <c r="A43" s="306"/>
      <c r="B43" s="306"/>
      <c r="C43" s="307"/>
      <c r="D43" s="308"/>
      <c r="E43" s="229"/>
      <c r="F43" s="229"/>
      <c r="G43" s="229"/>
      <c r="H43" s="228">
        <f>E43*G43*3.281*F43*1.25</f>
        <v>0</v>
      </c>
      <c r="I43" s="230"/>
      <c r="J43" s="230"/>
      <c r="K43" s="230"/>
      <c r="L43" s="230"/>
      <c r="M43" s="231"/>
      <c r="N43" s="231"/>
      <c r="O43" s="230"/>
      <c r="P43" s="230"/>
      <c r="Q43" s="230"/>
      <c r="R43" s="230"/>
      <c r="S43" s="230"/>
      <c r="T43" s="142"/>
      <c r="U43" s="232"/>
      <c r="V43" s="139"/>
    </row>
    <row r="44" spans="1:22" x14ac:dyDescent="0.2">
      <c r="D44" s="231"/>
      <c r="G44" s="233" t="s">
        <v>62</v>
      </c>
      <c r="H44" s="234">
        <f>SUM(H33:H43)</f>
        <v>0</v>
      </c>
      <c r="I44" s="235"/>
      <c r="J44" s="235"/>
      <c r="K44" s="235"/>
      <c r="L44" s="96"/>
      <c r="M44" s="236"/>
      <c r="N44" s="236"/>
      <c r="O44" s="235"/>
      <c r="P44" s="235"/>
      <c r="Q44" s="235"/>
      <c r="R44" s="235"/>
      <c r="S44" s="235"/>
      <c r="T44" s="142"/>
      <c r="U44" s="232"/>
    </row>
  </sheetData>
  <mergeCells count="43">
    <mergeCell ref="B27:B28"/>
    <mergeCell ref="C27:C28"/>
    <mergeCell ref="C36:D36"/>
    <mergeCell ref="C37:D37"/>
    <mergeCell ref="A33:A43"/>
    <mergeCell ref="B33:B43"/>
    <mergeCell ref="C39:D39"/>
    <mergeCell ref="C40:D40"/>
    <mergeCell ref="C41:D41"/>
    <mergeCell ref="C42:D42"/>
    <mergeCell ref="C43:D43"/>
    <mergeCell ref="A27:A28"/>
    <mergeCell ref="C38:D38"/>
    <mergeCell ref="C31:D31"/>
    <mergeCell ref="C32:D32"/>
    <mergeCell ref="C33:D33"/>
    <mergeCell ref="C34:D34"/>
    <mergeCell ref="C35:D35"/>
    <mergeCell ref="I27:I28"/>
    <mergeCell ref="J27:J28"/>
    <mergeCell ref="K27:K28"/>
    <mergeCell ref="E27:E28"/>
    <mergeCell ref="C25:C26"/>
    <mergeCell ref="F27:F28"/>
    <mergeCell ref="G27:G28"/>
    <mergeCell ref="H27:H28"/>
    <mergeCell ref="G7:G8"/>
    <mergeCell ref="H7:H8"/>
    <mergeCell ref="I7:I8"/>
    <mergeCell ref="J7:J8"/>
    <mergeCell ref="K7:K8"/>
    <mergeCell ref="B9:B26"/>
    <mergeCell ref="A9:A26"/>
    <mergeCell ref="C9:C12"/>
    <mergeCell ref="C13:C14"/>
    <mergeCell ref="C21:C24"/>
    <mergeCell ref="C15:C18"/>
    <mergeCell ref="C19:C20"/>
    <mergeCell ref="A7:A8"/>
    <mergeCell ref="B7:B8"/>
    <mergeCell ref="C7:C8"/>
    <mergeCell ref="E7:E8"/>
    <mergeCell ref="F7:F8"/>
  </mergeCells>
  <pageMargins left="0.75" right="0.75" top="1" bottom="1" header="0" footer="0"/>
  <pageSetup paperSize="9" orientation="portrait" horizontalDpi="200" verticalDpi="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RESUMEN</vt:lpstr>
      <vt:lpstr>ZAPATAS</vt:lpstr>
      <vt:lpstr>MUROS Y FOSOS</vt:lpstr>
      <vt:lpstr>TANQUE DE AGUA</vt:lpstr>
      <vt:lpstr>ALBAÑILERRIA</vt:lpstr>
      <vt:lpstr>ESTRUC ELEVA</vt:lpstr>
      <vt:lpstr>ESCALERA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Muñoz</dc:creator>
  <cp:keywords/>
  <dc:description/>
  <cp:lastModifiedBy>jlmunoz - Jose Muñoz</cp:lastModifiedBy>
  <cp:revision/>
  <dcterms:created xsi:type="dcterms:W3CDTF">2025-03-29T03:34:07Z</dcterms:created>
  <dcterms:modified xsi:type="dcterms:W3CDTF">2025-04-04T20:14:38Z</dcterms:modified>
  <cp:category/>
  <cp:contentStatus/>
</cp:coreProperties>
</file>